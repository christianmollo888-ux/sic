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icjac\reportes\"/>
    </mc:Choice>
  </mc:AlternateContent>
  <bookViews>
    <workbookView xWindow="0" yWindow="0" windowWidth="28800" windowHeight="1221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15" i="1" l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T15" i="1"/>
  <c r="S15" i="1"/>
  <c r="Q15" i="1"/>
  <c r="P15" i="1"/>
  <c r="O15" i="1"/>
  <c r="N15" i="1"/>
  <c r="R15" i="1" s="1"/>
  <c r="U15" i="1" s="1"/>
  <c r="M15" i="1"/>
  <c r="K15" i="1"/>
  <c r="J15" i="1"/>
  <c r="H15" i="1"/>
  <c r="G15" i="1"/>
  <c r="F15" i="1"/>
  <c r="E15" i="1"/>
  <c r="D15" i="1"/>
  <c r="C15" i="1"/>
  <c r="B15" i="1"/>
  <c r="I15" i="1" s="1"/>
  <c r="L15" i="1" s="1"/>
  <c r="BC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T14" i="1"/>
  <c r="S14" i="1"/>
  <c r="Q14" i="1"/>
  <c r="P14" i="1"/>
  <c r="O14" i="1"/>
  <c r="N14" i="1"/>
  <c r="R14" i="1" s="1"/>
  <c r="M14" i="1"/>
  <c r="K14" i="1"/>
  <c r="J14" i="1"/>
  <c r="H14" i="1"/>
  <c r="G14" i="1"/>
  <c r="F14" i="1"/>
  <c r="E14" i="1"/>
  <c r="D14" i="1"/>
  <c r="C14" i="1"/>
  <c r="B14" i="1"/>
  <c r="I14" i="1" s="1"/>
  <c r="L14" i="1" s="1"/>
  <c r="BC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T13" i="1"/>
  <c r="S13" i="1"/>
  <c r="Q13" i="1"/>
  <c r="P13" i="1"/>
  <c r="O13" i="1"/>
  <c r="N13" i="1"/>
  <c r="M13" i="1"/>
  <c r="K13" i="1"/>
  <c r="J13" i="1"/>
  <c r="H13" i="1"/>
  <c r="G13" i="1"/>
  <c r="F13" i="1"/>
  <c r="E13" i="1"/>
  <c r="D13" i="1"/>
  <c r="C13" i="1"/>
  <c r="B13" i="1"/>
  <c r="I13" i="1" s="1"/>
  <c r="BC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T12" i="1"/>
  <c r="S12" i="1"/>
  <c r="Q12" i="1"/>
  <c r="P12" i="1"/>
  <c r="O12" i="1"/>
  <c r="N12" i="1"/>
  <c r="M12" i="1"/>
  <c r="K12" i="1"/>
  <c r="J12" i="1"/>
  <c r="H12" i="1"/>
  <c r="G12" i="1"/>
  <c r="F12" i="1"/>
  <c r="E12" i="1"/>
  <c r="D12" i="1"/>
  <c r="C12" i="1"/>
  <c r="B12" i="1"/>
  <c r="I12" i="1" s="1"/>
  <c r="L12" i="1" s="1"/>
  <c r="BC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T11" i="1"/>
  <c r="S11" i="1"/>
  <c r="Q11" i="1"/>
  <c r="P11" i="1"/>
  <c r="O11" i="1"/>
  <c r="N11" i="1"/>
  <c r="M11" i="1"/>
  <c r="K11" i="1"/>
  <c r="J11" i="1"/>
  <c r="H11" i="1"/>
  <c r="G11" i="1"/>
  <c r="F11" i="1"/>
  <c r="E11" i="1"/>
  <c r="D11" i="1"/>
  <c r="C11" i="1"/>
  <c r="B11" i="1"/>
  <c r="BC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T10" i="1"/>
  <c r="S10" i="1"/>
  <c r="Q10" i="1"/>
  <c r="P10" i="1"/>
  <c r="O10" i="1"/>
  <c r="N10" i="1"/>
  <c r="M10" i="1"/>
  <c r="K10" i="1"/>
  <c r="J10" i="1"/>
  <c r="H10" i="1"/>
  <c r="G10" i="1"/>
  <c r="F10" i="1"/>
  <c r="I10" i="1" s="1"/>
  <c r="L10" i="1" s="1"/>
  <c r="E10" i="1"/>
  <c r="D10" i="1"/>
  <c r="C10" i="1"/>
  <c r="B10" i="1"/>
  <c r="BC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T9" i="1"/>
  <c r="S9" i="1"/>
  <c r="Q9" i="1"/>
  <c r="P9" i="1"/>
  <c r="O9" i="1"/>
  <c r="N9" i="1"/>
  <c r="M9" i="1"/>
  <c r="K9" i="1"/>
  <c r="J9" i="1"/>
  <c r="H9" i="1"/>
  <c r="G9" i="1"/>
  <c r="F9" i="1"/>
  <c r="E9" i="1"/>
  <c r="D9" i="1"/>
  <c r="C9" i="1"/>
  <c r="B9" i="1"/>
  <c r="BC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T8" i="1"/>
  <c r="S8" i="1"/>
  <c r="Q8" i="1"/>
  <c r="P8" i="1"/>
  <c r="O8" i="1"/>
  <c r="N8" i="1"/>
  <c r="M8" i="1"/>
  <c r="K8" i="1"/>
  <c r="J8" i="1"/>
  <c r="H8" i="1"/>
  <c r="G8" i="1"/>
  <c r="F8" i="1"/>
  <c r="E8" i="1"/>
  <c r="D8" i="1"/>
  <c r="C8" i="1"/>
  <c r="B8" i="1"/>
  <c r="I8" i="1" s="1"/>
  <c r="L8" i="1" s="1"/>
  <c r="BC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T7" i="1"/>
  <c r="S7" i="1"/>
  <c r="Q7" i="1"/>
  <c r="P7" i="1"/>
  <c r="R7" i="1" s="1"/>
  <c r="U7" i="1" s="1"/>
  <c r="O7" i="1"/>
  <c r="N7" i="1"/>
  <c r="M7" i="1"/>
  <c r="K7" i="1"/>
  <c r="J7" i="1"/>
  <c r="H7" i="1"/>
  <c r="G7" i="1"/>
  <c r="F7" i="1"/>
  <c r="E7" i="1"/>
  <c r="D7" i="1"/>
  <c r="C7" i="1"/>
  <c r="B7" i="1"/>
  <c r="BC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T6" i="1"/>
  <c r="S6" i="1"/>
  <c r="Q6" i="1"/>
  <c r="P6" i="1"/>
  <c r="R6" i="1" s="1"/>
  <c r="U6" i="1" s="1"/>
  <c r="O6" i="1"/>
  <c r="N6" i="1"/>
  <c r="M6" i="1"/>
  <c r="K6" i="1"/>
  <c r="J6" i="1"/>
  <c r="H6" i="1"/>
  <c r="G6" i="1"/>
  <c r="F6" i="1"/>
  <c r="E6" i="1"/>
  <c r="D6" i="1"/>
  <c r="C6" i="1"/>
  <c r="B6" i="1"/>
  <c r="BC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T5" i="1"/>
  <c r="S5" i="1"/>
  <c r="Q5" i="1"/>
  <c r="P5" i="1"/>
  <c r="O5" i="1"/>
  <c r="N5" i="1"/>
  <c r="R5" i="1" s="1"/>
  <c r="U5" i="1" s="1"/>
  <c r="M5" i="1"/>
  <c r="K5" i="1"/>
  <c r="J5" i="1"/>
  <c r="H5" i="1"/>
  <c r="G5" i="1"/>
  <c r="F5" i="1"/>
  <c r="E5" i="1"/>
  <c r="D5" i="1"/>
  <c r="C5" i="1"/>
  <c r="B5" i="1"/>
  <c r="BC4" i="1"/>
  <c r="BB4" i="1"/>
  <c r="AY4" i="1"/>
  <c r="AX4" i="1"/>
  <c r="AW4" i="1"/>
  <c r="AW16" i="1" s="1"/>
  <c r="AV4" i="1"/>
  <c r="AV16" i="1" s="1"/>
  <c r="AU4" i="1"/>
  <c r="AT4" i="1"/>
  <c r="AS4" i="1"/>
  <c r="AR4" i="1"/>
  <c r="AQ4" i="1"/>
  <c r="AP4" i="1"/>
  <c r="AO4" i="1"/>
  <c r="AO16" i="1" s="1"/>
  <c r="AN4" i="1"/>
  <c r="AN16" i="1" s="1"/>
  <c r="AM4" i="1"/>
  <c r="AL4" i="1"/>
  <c r="AK4" i="1"/>
  <c r="AJ4" i="1"/>
  <c r="AI4" i="1"/>
  <c r="AH4" i="1"/>
  <c r="AG4" i="1"/>
  <c r="AG16" i="1" s="1"/>
  <c r="AF4" i="1"/>
  <c r="AF16" i="1" s="1"/>
  <c r="AE4" i="1"/>
  <c r="AD4" i="1"/>
  <c r="AC4" i="1"/>
  <c r="AB4" i="1"/>
  <c r="AA4" i="1"/>
  <c r="Z4" i="1"/>
  <c r="Y4" i="1"/>
  <c r="Y16" i="1" s="1"/>
  <c r="X4" i="1"/>
  <c r="X16" i="1" s="1"/>
  <c r="W4" i="1"/>
  <c r="V4" i="1"/>
  <c r="T4" i="1"/>
  <c r="S4" i="1"/>
  <c r="Q4" i="1"/>
  <c r="P4" i="1"/>
  <c r="P16" i="1" s="1"/>
  <c r="O4" i="1"/>
  <c r="N4" i="1"/>
  <c r="R4" i="1" s="1"/>
  <c r="M4" i="1"/>
  <c r="K4" i="1"/>
  <c r="J4" i="1"/>
  <c r="H4" i="1"/>
  <c r="G4" i="1"/>
  <c r="F4" i="1"/>
  <c r="F16" i="1" s="1"/>
  <c r="E4" i="1"/>
  <c r="D4" i="1"/>
  <c r="D16" i="1" s="1"/>
  <c r="C4" i="1"/>
  <c r="B4" i="1"/>
  <c r="AZ15" i="1" l="1"/>
  <c r="R9" i="1"/>
  <c r="U9" i="1" s="1"/>
  <c r="L13" i="1"/>
  <c r="O16" i="1"/>
  <c r="AH16" i="1"/>
  <c r="G16" i="1"/>
  <c r="Q16" i="1"/>
  <c r="AA16" i="1"/>
  <c r="AI16" i="1"/>
  <c r="AQ16" i="1"/>
  <c r="AY16" i="1"/>
  <c r="R8" i="1"/>
  <c r="U8" i="1" s="1"/>
  <c r="I9" i="1"/>
  <c r="L9" i="1" s="1"/>
  <c r="R13" i="1"/>
  <c r="U13" i="1" s="1"/>
  <c r="AZ13" i="1" s="1"/>
  <c r="AX16" i="1"/>
  <c r="H16" i="1"/>
  <c r="AB16" i="1"/>
  <c r="AJ16" i="1"/>
  <c r="AR16" i="1"/>
  <c r="S16" i="1"/>
  <c r="J16" i="1"/>
  <c r="R12" i="1"/>
  <c r="U12" i="1" s="1"/>
  <c r="AZ12" i="1" s="1"/>
  <c r="E16" i="1"/>
  <c r="AC16" i="1"/>
  <c r="AK16" i="1"/>
  <c r="AS16" i="1"/>
  <c r="BC16" i="1"/>
  <c r="I6" i="1"/>
  <c r="L6" i="1" s="1"/>
  <c r="I7" i="1"/>
  <c r="L7" i="1" s="1"/>
  <c r="AZ7" i="1"/>
  <c r="R11" i="1"/>
  <c r="U11" i="1" s="1"/>
  <c r="BA11" i="1" s="1"/>
  <c r="AP16" i="1"/>
  <c r="I4" i="1"/>
  <c r="V16" i="1"/>
  <c r="AD16" i="1"/>
  <c r="AL16" i="1"/>
  <c r="AT16" i="1"/>
  <c r="I5" i="1"/>
  <c r="L5" i="1" s="1"/>
  <c r="K16" i="1"/>
  <c r="R10" i="1"/>
  <c r="U10" i="1" s="1"/>
  <c r="BA10" i="1" s="1"/>
  <c r="Z16" i="1"/>
  <c r="T16" i="1"/>
  <c r="M16" i="1"/>
  <c r="W16" i="1"/>
  <c r="AE16" i="1"/>
  <c r="AM16" i="1"/>
  <c r="AU16" i="1"/>
  <c r="C16" i="1"/>
  <c r="I11" i="1"/>
  <c r="L11" i="1" s="1"/>
  <c r="U14" i="1"/>
  <c r="BA12" i="1"/>
  <c r="BA13" i="1"/>
  <c r="L4" i="1"/>
  <c r="BA6" i="1"/>
  <c r="BA5" i="1"/>
  <c r="AZ5" i="1"/>
  <c r="U4" i="1"/>
  <c r="BA8" i="1"/>
  <c r="BA9" i="1"/>
  <c r="BA14" i="1"/>
  <c r="B16" i="1"/>
  <c r="AZ6" i="1"/>
  <c r="BA7" i="1"/>
  <c r="AZ8" i="1"/>
  <c r="BA15" i="1"/>
  <c r="AZ9" i="1"/>
  <c r="N16" i="1"/>
  <c r="AZ14" i="1"/>
  <c r="R16" i="1" l="1"/>
  <c r="AZ11" i="1"/>
  <c r="AZ10" i="1"/>
  <c r="L16" i="1"/>
  <c r="I16" i="1"/>
  <c r="AZ4" i="1"/>
  <c r="BA4" i="1"/>
  <c r="BA16" i="1" s="1"/>
  <c r="U16" i="1"/>
  <c r="BE4" i="1" l="1"/>
  <c r="BD4" i="1"/>
  <c r="AZ16" i="1"/>
  <c r="BB5" i="1" l="1"/>
  <c r="BE5" i="1" l="1"/>
  <c r="BD5" i="1"/>
  <c r="BB6" i="1" l="1"/>
  <c r="BE6" i="1" l="1"/>
  <c r="BD6" i="1"/>
  <c r="BB7" i="1" l="1"/>
  <c r="BD7" i="1" l="1"/>
  <c r="BE7" i="1"/>
  <c r="BB8" i="1" l="1"/>
  <c r="BD8" i="1" l="1"/>
  <c r="BE8" i="1"/>
  <c r="BB9" i="1" l="1"/>
  <c r="BD9" i="1" l="1"/>
  <c r="BE9" i="1"/>
  <c r="BB10" i="1" s="1"/>
  <c r="BE10" i="1" l="1"/>
  <c r="BB11" i="1" s="1"/>
  <c r="BD10" i="1"/>
  <c r="BD11" i="1" l="1"/>
  <c r="BE11" i="1"/>
  <c r="BB12" i="1" s="1"/>
  <c r="BD12" i="1" l="1"/>
  <c r="BE12" i="1"/>
  <c r="BB13" i="1" s="1"/>
  <c r="BE13" i="1" l="1"/>
  <c r="BB14" i="1" s="1"/>
  <c r="BD13" i="1"/>
  <c r="BD14" i="1" l="1"/>
  <c r="BE14" i="1"/>
  <c r="BB15" i="1" s="1"/>
  <c r="BE15" i="1" l="1"/>
  <c r="BE16" i="1" s="1"/>
  <c r="BD15" i="1"/>
  <c r="BD16" i="1" s="1"/>
  <c r="BB16" i="1"/>
</calcChain>
</file>

<file path=xl/sharedStrings.xml><?xml version="1.0" encoding="utf-8"?>
<sst xmlns="http://schemas.openxmlformats.org/spreadsheetml/2006/main" count="121" uniqueCount="121">
  <si>
    <t>Resumen Formulario 200</t>
  </si>
  <si>
    <t>Ventas de bienes y/o servicios gravados en el mercado interno, excepto ventas Tasa Cero</t>
  </si>
  <si>
    <t>Exportación de bienes y operaciones exentas</t>
  </si>
  <si>
    <t>Ventas gravadas a Tasa Cero</t>
  </si>
  <si>
    <t>Ventas no gravadas y operaciones que no son objeto del IVA</t>
  </si>
  <si>
    <t>Valor atribuido a bienes y/o servicios retirados y consumos particulares</t>
  </si>
  <si>
    <t>Devoluciones y rescisiones efectuadas en el período</t>
  </si>
  <si>
    <t>Descuentos, bonificaciones y rebajas obtenidas en el período</t>
  </si>
  <si>
    <t>Débito Fiscal correspondiente a: [(C13+C16+C17+C18) * 13 %]</t>
  </si>
  <si>
    <t>Débito Fiscal Actualizado correspondiente a Reintegros</t>
  </si>
  <si>
    <t>Débito Fiscal actualizado correspondiente a Conciliaciones</t>
  </si>
  <si>
    <t>Total Débito Fiscal del período (C39+C55 + C19)</t>
  </si>
  <si>
    <t>Total Compras correspondientes a actividades gravadas y/o no gravadas</t>
  </si>
  <si>
    <t>Compras directamente vinculadas a actividades gravadas</t>
  </si>
  <si>
    <t>Compras en las que no es posible discriminar su vinculación con actividades gravadas y no gravadas</t>
  </si>
  <si>
    <t>Devoluciones y rescisiones recibidas en el período</t>
  </si>
  <si>
    <t>Descuentos, bonificaciones y rebajas otorgadas en el período</t>
  </si>
  <si>
    <t>Crédito Fiscal correspondiente a: [(C26+C27+C28)*13%]</t>
  </si>
  <si>
    <t>Crédito fiscal actualizado correspondiente a Conciliaciones</t>
  </si>
  <si>
    <t>Crédito Fiscal proporcional correspondiente a la actividad gravada [C31*(C13+C14)/
(C13+C14+C15+C505)]*13%</t>
  </si>
  <si>
    <t>Total Crédito Fiscal del período (C114+C1003+ C30)</t>
  </si>
  <si>
    <t>Diferencia a favor del Contribuyente (C1004 - C1002; Si &gt;0)</t>
  </si>
  <si>
    <t>Diferencia a favor del Fisco o Impuesto Determinado (C1002 - C1004; Si &gt; 0)</t>
  </si>
  <si>
    <t>Saldo de Crédito Fiscal del periodo anterior a compensar (C592 del Formulario del periodo anterior)</t>
  </si>
  <si>
    <t>Actualización de valor sobre el saldo de Crédito Fiscal del período anterior</t>
  </si>
  <si>
    <t>Saldo de Impuesto Determinado a favor del Fisco (C909-C635-C648;Si &gt; 0)</t>
  </si>
  <si>
    <t>Pago a cuenta del 50% de contribuciones patronales pagadas del periodo (Sobre Cotizaciones Pagadas del Periodo anterior); según D,S, 4298</t>
  </si>
  <si>
    <t>Saldo a favor del Fisco despues de compensar pagos a cuenta por contribuciones patronales (C1001 - C621; Si &gt; 0) ((C621 - C1001; Si &gt; 0) = 0)</t>
  </si>
  <si>
    <t>Pagos a Cuenta realizados en DD,JJ, y/o Boletas de Pago correspondientes al período que se declara</t>
  </si>
  <si>
    <t>Saldo de Pagos a Cuenta del período anterior a compensar (C747 del Formulario del período anterior)</t>
  </si>
  <si>
    <t>Saldo por Pagos a Cuenta a favor del Contribuyente (C640+C622-C629; Si &gt;0)</t>
  </si>
  <si>
    <t>Saldo a favor del fisco despues de compensar pagos a cuenta (C629-C622-C640; Si &gt; 0)</t>
  </si>
  <si>
    <t>Pago a cuenta del 5% por compras a contribuyentes del SIETE- RG; según D,S, 4298</t>
  </si>
  <si>
    <t>Saldo de Pagos a cuenta 5% por compras a contribuyentes del SIETE- RG (C469 del periodo anterior)</t>
  </si>
  <si>
    <t>Saldo a favor despues de compensar pagos a cuenta 5% por compras a contribuyentes SIETE- RG (C465+C466- C468; Si &gt; 0)</t>
  </si>
  <si>
    <t>Saldo a favor del Fisco (C468-C465-C466; Si &gt; 0)</t>
  </si>
  <si>
    <t>Tributo Omitido (C996)</t>
  </si>
  <si>
    <t>Actualización de valor sobre Tributo Omitido</t>
  </si>
  <si>
    <t>Intereses sobre Tributo Omitido Actualizado</t>
  </si>
  <si>
    <t>Multa por Incumplimiento al Deber Formal (IDF) por presentación fuera de plazo</t>
  </si>
  <si>
    <t>Multa por IDF por Incremento del Impuesto Determinado en DD,JJ, Recticatoria presentada fuera de plazo</t>
  </si>
  <si>
    <t>Total Deuda Tributaria (C924+C925+C938+C954+C967)</t>
  </si>
  <si>
    <t>Saldo definitivo de Crédito Fiscal a favor del Contribuyente para el siguiente período (C693+C635+C648-C909;Si &gt; 0)</t>
  </si>
  <si>
    <t>Saldo definitivo por Pagos a Cuenta a favor del Contribuyente del 5% por compras a contribuyentes del SIETERG para el siguiente período(C467); Si&gt;0</t>
  </si>
  <si>
    <t>Saldo definitivo por Pagos a Cuenta a favor del Contribuyente para el siguiente periodo (C643 - C955); Si &gt; 0</t>
  </si>
  <si>
    <t>Saldo definitivo a favor del Fisco (C996 ó (C955-C643) según corresponda; Si &gt;0)</t>
  </si>
  <si>
    <t>Pago en valores (sujeto a verificación y confirmación por el SIN)</t>
  </si>
  <si>
    <t>Saldo a Favor FAP Ley 1380</t>
  </si>
  <si>
    <t>Pago en efectivo (C646-C677-C678; Si &gt;0)</t>
  </si>
  <si>
    <t>Permuta en venta de bienes y/o servicios</t>
  </si>
  <si>
    <t>Permuta en compra de bienes y/o servicios</t>
  </si>
  <si>
    <t>MES</t>
  </si>
  <si>
    <t>C13</t>
  </si>
  <si>
    <t>C14</t>
  </si>
  <si>
    <t>C15</t>
  </si>
  <si>
    <t>C505</t>
  </si>
  <si>
    <t>C16</t>
  </si>
  <si>
    <t>C17</t>
  </si>
  <si>
    <t>C18</t>
  </si>
  <si>
    <t>C39</t>
  </si>
  <si>
    <t>C55</t>
  </si>
  <si>
    <t>C19</t>
  </si>
  <si>
    <t>C1002</t>
  </si>
  <si>
    <t>C11</t>
  </si>
  <si>
    <t>C26</t>
  </si>
  <si>
    <t>C31</t>
  </si>
  <si>
    <t>C27</t>
  </si>
  <si>
    <t>C28</t>
  </si>
  <si>
    <t>C114</t>
  </si>
  <si>
    <t>C30</t>
  </si>
  <si>
    <t>C1003</t>
  </si>
  <si>
    <t>C1004</t>
  </si>
  <si>
    <t>C693</t>
  </si>
  <si>
    <t>C909</t>
  </si>
  <si>
    <t>C635</t>
  </si>
  <si>
    <t>C648</t>
  </si>
  <si>
    <t>C1001</t>
  </si>
  <si>
    <t>C621</t>
  </si>
  <si>
    <t>C629</t>
  </si>
  <si>
    <t>C622</t>
  </si>
  <si>
    <t>C640</t>
  </si>
  <si>
    <t>C643</t>
  </si>
  <si>
    <t>C468</t>
  </si>
  <si>
    <t>C465</t>
  </si>
  <si>
    <t>C466</t>
  </si>
  <si>
    <t>C467</t>
  </si>
  <si>
    <t>C996</t>
  </si>
  <si>
    <t>C924</t>
  </si>
  <si>
    <t>C925</t>
  </si>
  <si>
    <t>C938</t>
  </si>
  <si>
    <t>C954</t>
  </si>
  <si>
    <t>C967</t>
  </si>
  <si>
    <t>C955</t>
  </si>
  <si>
    <t>C592</t>
  </si>
  <si>
    <t>C469</t>
  </si>
  <si>
    <t>C747</t>
  </si>
  <si>
    <t>C646</t>
  </si>
  <si>
    <t>C677</t>
  </si>
  <si>
    <t>C678</t>
  </si>
  <si>
    <t>C576</t>
  </si>
  <si>
    <t>C580</t>
  </si>
  <si>
    <t>C581</t>
  </si>
  <si>
    <t>IVA A FAVOR DEL FISCO</t>
  </si>
  <si>
    <t>IVA A FAVOR CONTRIB</t>
  </si>
  <si>
    <t>A FAVOR MES ANTERIOR</t>
  </si>
  <si>
    <t>MNTTO DE VALOR</t>
  </si>
  <si>
    <t>IVA A PAGAR</t>
  </si>
  <si>
    <t>IVA A FAVOR MES SIGUIENTE</t>
  </si>
  <si>
    <t>Totales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</si>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</sst>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Univers Condensed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b/>
      <sz val="9"/>
      <color rgb="FFFFFF00"/>
      <name val="Arial"/>
      <family val="2"/>
    </font>
    <font>
      <sz val="9"/>
      <color rgb="FF000000"/>
      <name val="Univers Condensed"/>
      <family val="2"/>
    </font>
    <font>
      <b/>
      <sz val="9"/>
      <color rgb="FF000000"/>
      <name val="Univers Condensed"/>
      <family val="2"/>
    </font>
  </fonts>
  <fills count="1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00206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3FF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0" borderId="0"/>
  </cellStyleXfs>
  <cellXfs count="24">
    <xf numFmtId="0" fontId="0" fillId="0" borderId="0" xfId="0"/>
    <xf numFmtId="0" fontId="3" fillId="0" borderId="0" xfId="2" applyFont="1"/>
    <xf numFmtId="0" fontId="5" fillId="0" borderId="0" xfId="2" applyFont="1"/>
    <xf numFmtId="49" fontId="6" fillId="3" borderId="2" xfId="1" applyNumberFormat="1" applyFont="1" applyFill="1" applyBorder="1" applyAlignment="1">
      <alignment horizontal="center" vertical="center" wrapText="1"/>
    </xf>
    <xf numFmtId="49" fontId="6" fillId="4" borderId="2" xfId="1" applyNumberFormat="1" applyFont="1" applyFill="1" applyBorder="1" applyAlignment="1">
      <alignment horizontal="center" vertical="center" wrapText="1"/>
    </xf>
    <xf numFmtId="49" fontId="6" fillId="5" borderId="2" xfId="1" applyNumberFormat="1" applyFont="1" applyFill="1" applyBorder="1" applyAlignment="1">
      <alignment horizontal="center" vertical="center" wrapText="1"/>
    </xf>
    <xf numFmtId="49" fontId="6" fillId="6" borderId="2" xfId="1" applyNumberFormat="1" applyFont="1" applyFill="1" applyBorder="1" applyAlignment="1">
      <alignment horizontal="center" vertical="center" wrapText="1"/>
    </xf>
    <xf numFmtId="49" fontId="7" fillId="3" borderId="2" xfId="1" applyNumberFormat="1" applyFont="1" applyFill="1" applyBorder="1" applyAlignment="1">
      <alignment vertical="center" wrapText="1"/>
    </xf>
    <xf numFmtId="49" fontId="7" fillId="3" borderId="3" xfId="1" applyNumberFormat="1" applyFont="1" applyFill="1" applyBorder="1" applyAlignment="1">
      <alignment horizontal="center" vertical="center" wrapText="1"/>
    </xf>
    <xf numFmtId="49" fontId="7" fillId="4" borderId="3" xfId="1" applyNumberFormat="1" applyFont="1" applyFill="1" applyBorder="1" applyAlignment="1">
      <alignment horizontal="center" vertical="center" wrapText="1"/>
    </xf>
    <xf numFmtId="49" fontId="7" fillId="5" borderId="3" xfId="1" applyNumberFormat="1" applyFont="1" applyFill="1" applyBorder="1" applyAlignment="1">
      <alignment horizontal="center" vertical="center" wrapText="1"/>
    </xf>
    <xf numFmtId="49" fontId="7" fillId="6" borderId="3" xfId="1" applyNumberFormat="1" applyFont="1" applyFill="1" applyBorder="1" applyAlignment="1">
      <alignment horizontal="center" vertical="center" wrapText="1"/>
    </xf>
    <xf numFmtId="49" fontId="7" fillId="7" borderId="2" xfId="1" applyNumberFormat="1" applyFont="1" applyFill="1" applyBorder="1" applyAlignment="1">
      <alignment horizontal="center" vertical="center" wrapText="1"/>
    </xf>
    <xf numFmtId="49" fontId="8" fillId="8" borderId="2" xfId="1" applyNumberFormat="1" applyFont="1" applyFill="1" applyBorder="1" applyAlignment="1">
      <alignment horizontal="center" vertical="center" wrapText="1"/>
    </xf>
    <xf numFmtId="0" fontId="9" fillId="0" borderId="4" xfId="0" applyFont="1" applyBorder="1"/>
    <xf numFmtId="3" fontId="3" fillId="0" borderId="4" xfId="2" applyNumberFormat="1" applyFont="1" applyBorder="1"/>
    <xf numFmtId="3" fontId="3" fillId="9" borderId="4" xfId="2" applyNumberFormat="1" applyFont="1" applyFill="1" applyBorder="1"/>
    <xf numFmtId="0" fontId="3" fillId="0" borderId="4" xfId="2" applyFont="1" applyBorder="1"/>
    <xf numFmtId="3" fontId="3" fillId="10" borderId="4" xfId="2" applyNumberFormat="1" applyFont="1" applyFill="1" applyBorder="1"/>
    <xf numFmtId="3" fontId="3" fillId="11" borderId="4" xfId="2" applyNumberFormat="1" applyFont="1" applyFill="1" applyBorder="1"/>
    <xf numFmtId="3" fontId="3" fillId="12" borderId="4" xfId="2" applyNumberFormat="1" applyFont="1" applyFill="1" applyBorder="1"/>
    <xf numFmtId="3" fontId="3" fillId="13" borderId="4" xfId="2" applyNumberFormat="1" applyFont="1" applyFill="1" applyBorder="1"/>
    <xf numFmtId="0" fontId="3" fillId="0" borderId="5" xfId="2" applyFont="1" applyBorder="1"/>
    <xf numFmtId="3" fontId="10" fillId="0" borderId="5" xfId="2" applyNumberFormat="1" applyFont="1" applyBorder="1"/>
  </cellXfs>
  <cellStyles count="3">
    <cellStyle name="Celda de comprobación" xfId="1" builtinId="2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ma00/Downloads/sic4bus-20260225T195430Z-1-001/Captura%20PDF-20260226T153027Z-1-001/Captura%20PDF/01%20DDJJ%20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200"/>
      <sheetName val="F-400"/>
      <sheetName val="Constancia RCV"/>
      <sheetName val="COMPRAS STD"/>
      <sheetName val="VENTAS STD"/>
      <sheetName val="VENTAS COMBUSTIBLE"/>
      <sheetName val="VENTAS PREVALORADAS"/>
      <sheetName val="REINTEGRO"/>
      <sheetName val="Nota DC recibida"/>
      <sheetName val="Nota DC emitidas"/>
      <sheetName val="F-608 "/>
      <sheetName val="F-410"/>
      <sheetName val="F-570"/>
      <sheetName val="F-604  "/>
      <sheetName val="F-604 V3"/>
      <sheetName val="F-530"/>
      <sheetName val="F-772"/>
      <sheetName val="F-500"/>
      <sheetName val="RESUMEN FORMULARIOS"/>
      <sheetName val="F-550"/>
    </sheetNames>
    <sheetDataSet>
      <sheetData sheetId="0"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3"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6"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30"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7"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40"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D41">
            <v>909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D42">
            <v>635</v>
          </cell>
          <cell r="F42">
            <v>0</v>
          </cell>
          <cell r="G42">
            <v>1</v>
          </cell>
          <cell r="H42">
            <v>2</v>
          </cell>
          <cell r="I42">
            <v>2</v>
          </cell>
          <cell r="J42">
            <v>2</v>
          </cell>
          <cell r="K42">
            <v>2</v>
          </cell>
          <cell r="L42">
            <v>2</v>
          </cell>
          <cell r="M42">
            <v>2</v>
          </cell>
          <cell r="N42">
            <v>2</v>
          </cell>
          <cell r="O42">
            <v>2</v>
          </cell>
          <cell r="P42">
            <v>2</v>
          </cell>
        </row>
        <row r="43">
          <cell r="F43">
            <v>1</v>
          </cell>
          <cell r="G43">
            <v>1</v>
          </cell>
        </row>
        <row r="44"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61"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3">
          <cell r="E63">
            <v>0</v>
          </cell>
          <cell r="F63">
            <v>1</v>
          </cell>
          <cell r="G63">
            <v>2</v>
          </cell>
          <cell r="H63">
            <v>2</v>
          </cell>
          <cell r="I63">
            <v>2</v>
          </cell>
          <cell r="J63">
            <v>2</v>
          </cell>
          <cell r="K63">
            <v>2</v>
          </cell>
          <cell r="L63">
            <v>2</v>
          </cell>
          <cell r="M63">
            <v>2</v>
          </cell>
          <cell r="N63">
            <v>2</v>
          </cell>
          <cell r="O63">
            <v>2</v>
          </cell>
          <cell r="P63">
            <v>2</v>
          </cell>
        </row>
        <row r="64"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70"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tabSelected="1" workbookViewId="0">
      <selection activeCell="A2" sqref="A2:XFD2"/>
    </sheetView>
  </sheetViews>
  <sheetFormatPr baseColWidth="10" defaultRowHeight="15"/>
  <sheetData>
    <row r="1" spans="1:57" ht="15.75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70.25" thickTop="1" thickBot="1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6" t="s">
        <v>46</v>
      </c>
      <c r="AV2" s="6" t="s">
        <v>47</v>
      </c>
      <c r="AW2" s="6" t="s">
        <v>48</v>
      </c>
      <c r="AX2" s="5" t="s">
        <v>49</v>
      </c>
      <c r="AY2" s="5" t="s">
        <v>50</v>
      </c>
      <c r="AZ2" s="2"/>
      <c r="BA2" s="2"/>
      <c r="BB2" s="2"/>
      <c r="BC2" s="2"/>
      <c r="BD2" s="2"/>
      <c r="BE2" s="2"/>
    </row>
    <row r="3" spans="1:57" ht="37.5" thickTop="1" thickBot="1">
      <c r="A3" s="7" t="s">
        <v>51</v>
      </c>
      <c r="B3" s="8" t="s">
        <v>52</v>
      </c>
      <c r="C3" s="8" t="s">
        <v>53</v>
      </c>
      <c r="D3" s="8" t="s">
        <v>54</v>
      </c>
      <c r="E3" s="8" t="s">
        <v>55</v>
      </c>
      <c r="F3" s="8" t="s">
        <v>56</v>
      </c>
      <c r="G3" s="8" t="s">
        <v>57</v>
      </c>
      <c r="H3" s="8" t="s">
        <v>58</v>
      </c>
      <c r="I3" s="8" t="s">
        <v>59</v>
      </c>
      <c r="J3" s="8" t="s">
        <v>60</v>
      </c>
      <c r="K3" s="8" t="s">
        <v>61</v>
      </c>
      <c r="L3" s="8" t="s">
        <v>62</v>
      </c>
      <c r="M3" s="9" t="s">
        <v>63</v>
      </c>
      <c r="N3" s="9" t="s">
        <v>64</v>
      </c>
      <c r="O3" s="9" t="s">
        <v>65</v>
      </c>
      <c r="P3" s="9" t="s">
        <v>66</v>
      </c>
      <c r="Q3" s="9" t="s">
        <v>67</v>
      </c>
      <c r="R3" s="9" t="s">
        <v>68</v>
      </c>
      <c r="S3" s="9" t="s">
        <v>69</v>
      </c>
      <c r="T3" s="9" t="s">
        <v>70</v>
      </c>
      <c r="U3" s="9" t="s">
        <v>71</v>
      </c>
      <c r="V3" s="10" t="s">
        <v>72</v>
      </c>
      <c r="W3" s="10" t="s">
        <v>73</v>
      </c>
      <c r="X3" s="10" t="s">
        <v>74</v>
      </c>
      <c r="Y3" s="10" t="s">
        <v>75</v>
      </c>
      <c r="Z3" s="10" t="s">
        <v>76</v>
      </c>
      <c r="AA3" s="10" t="s">
        <v>77</v>
      </c>
      <c r="AB3" s="10" t="s">
        <v>78</v>
      </c>
      <c r="AC3" s="10" t="s">
        <v>79</v>
      </c>
      <c r="AD3" s="10" t="s">
        <v>80</v>
      </c>
      <c r="AE3" s="10" t="s">
        <v>81</v>
      </c>
      <c r="AF3" s="10" t="s">
        <v>82</v>
      </c>
      <c r="AG3" s="10" t="s">
        <v>83</v>
      </c>
      <c r="AH3" s="10" t="s">
        <v>84</v>
      </c>
      <c r="AI3" s="10" t="s">
        <v>85</v>
      </c>
      <c r="AJ3" s="10" t="s">
        <v>86</v>
      </c>
      <c r="AK3" s="11" t="s">
        <v>87</v>
      </c>
      <c r="AL3" s="11" t="s">
        <v>88</v>
      </c>
      <c r="AM3" s="11" t="s">
        <v>89</v>
      </c>
      <c r="AN3" s="11" t="s">
        <v>90</v>
      </c>
      <c r="AO3" s="11" t="s">
        <v>91</v>
      </c>
      <c r="AP3" s="11" t="s">
        <v>92</v>
      </c>
      <c r="AQ3" s="10" t="s">
        <v>93</v>
      </c>
      <c r="AR3" s="10" t="s">
        <v>94</v>
      </c>
      <c r="AS3" s="10" t="s">
        <v>95</v>
      </c>
      <c r="AT3" s="10" t="s">
        <v>96</v>
      </c>
      <c r="AU3" s="11" t="s">
        <v>97</v>
      </c>
      <c r="AV3" s="11" t="s">
        <v>98</v>
      </c>
      <c r="AW3" s="11" t="s">
        <v>99</v>
      </c>
      <c r="AX3" s="10" t="s">
        <v>100</v>
      </c>
      <c r="AY3" s="10" t="s">
        <v>101</v>
      </c>
      <c r="AZ3" s="12" t="s">
        <v>102</v>
      </c>
      <c r="BA3" s="12" t="s">
        <v>103</v>
      </c>
      <c r="BB3" s="12" t="s">
        <v>104</v>
      </c>
      <c r="BC3" s="12" t="s">
        <v>105</v>
      </c>
      <c r="BD3" s="13" t="s">
        <v>106</v>
      </c>
      <c r="BE3" s="13" t="s">
        <v>107</v>
      </c>
    </row>
    <row r="4" spans="1:57" ht="15.75" thickTop="1">
      <c r="A4" s="14" t="s">
        <v>109</v>
      </c>
      <c r="B4" s="15">
        <f>+'[1]F-200'!$E$18</f>
        <v>0</v>
      </c>
      <c r="C4" s="15">
        <f>+'[1]F-200'!$E$19</f>
        <v>0</v>
      </c>
      <c r="D4" s="15">
        <f>+'[1]F-200'!$E$20</f>
        <v>0</v>
      </c>
      <c r="E4" s="15">
        <f>+'[1]F-200'!$E$21</f>
        <v>0</v>
      </c>
      <c r="F4" s="15">
        <f>+'[1]F-200'!$E$22</f>
        <v>0</v>
      </c>
      <c r="G4" s="15">
        <f>+'[1]F-200'!$E$23</f>
        <v>0</v>
      </c>
      <c r="H4" s="16">
        <f>+'[1]F-200'!$E$24</f>
        <v>0</v>
      </c>
      <c r="I4" s="15">
        <f>+ROUND((B4+F4+G4+H4)*0.13,0)</f>
        <v>0</v>
      </c>
      <c r="J4" s="15">
        <f>+'[1]F-200'!$E$26</f>
        <v>0</v>
      </c>
      <c r="K4" s="16">
        <f>+'[1]F-200'!$E$27</f>
        <v>0</v>
      </c>
      <c r="L4" s="16">
        <f>+ROUND(I4+J4+K4,0)</f>
        <v>0</v>
      </c>
      <c r="M4" s="15">
        <f>+'[1]F-200'!$E$30</f>
        <v>0</v>
      </c>
      <c r="N4" s="15">
        <f>+'[1]F-200'!$E$31</f>
        <v>0</v>
      </c>
      <c r="O4" s="15">
        <f>+'[1]F-200'!$E$32</f>
        <v>0</v>
      </c>
      <c r="P4" s="15">
        <f>+'[1]F-200'!$E$33</f>
        <v>0</v>
      </c>
      <c r="Q4" s="15">
        <f>+'[1]F-200'!$E$34</f>
        <v>0</v>
      </c>
      <c r="R4" s="15">
        <f>+ROUND((N4+P4+Q4)*0.13,0)</f>
        <v>0</v>
      </c>
      <c r="S4" s="17">
        <f>+'[1]F-200'!$E$36</f>
        <v>0</v>
      </c>
      <c r="T4" s="15">
        <f>+'[1]F-200'!$E$37</f>
        <v>0</v>
      </c>
      <c r="U4" s="18">
        <f>ROUND((R4+S4+T4),0)</f>
        <v>0</v>
      </c>
      <c r="V4" s="15">
        <f>+'[1]F-200'!$E$40</f>
        <v>0</v>
      </c>
      <c r="W4" s="15">
        <f>+'[1]F-200'!$E$41</f>
        <v>0</v>
      </c>
      <c r="X4" s="15">
        <f>+'[1]F-200'!$E$42</f>
        <v>0</v>
      </c>
      <c r="Y4" s="15">
        <f>+'[1]F-200'!$E$43</f>
        <v>0</v>
      </c>
      <c r="Z4" s="15">
        <f>+'[1]F-200'!$E$44</f>
        <v>0</v>
      </c>
      <c r="AA4" s="15">
        <f>+'[1]F-200'!$E$45</f>
        <v>0</v>
      </c>
      <c r="AB4" s="15">
        <f>+'[1]F-200'!$E$46</f>
        <v>0</v>
      </c>
      <c r="AC4" s="15">
        <f>+'[1]F-200'!$E$47</f>
        <v>0</v>
      </c>
      <c r="AD4" s="15">
        <f>+'[1]F-200'!$E$48</f>
        <v>0</v>
      </c>
      <c r="AE4" s="15">
        <f>+'[1]F-200'!$E$49</f>
        <v>0</v>
      </c>
      <c r="AF4" s="15">
        <f>+'[1]F-200'!$E$50</f>
        <v>0</v>
      </c>
      <c r="AG4" s="15">
        <f>+'[1]F-200'!$E$51</f>
        <v>0</v>
      </c>
      <c r="AH4" s="15">
        <f>+'[1]F-200'!$E$52</f>
        <v>0</v>
      </c>
      <c r="AI4" s="15">
        <f>+'[1]F-200'!$E$53</f>
        <v>0</v>
      </c>
      <c r="AJ4" s="15">
        <f>+'[1]F-200'!$E$54</f>
        <v>0</v>
      </c>
      <c r="AK4" s="15">
        <f>+'[1]F-200'!$E$56</f>
        <v>0</v>
      </c>
      <c r="AL4" s="15">
        <f>+'[1]F-200'!$E$57</f>
        <v>0</v>
      </c>
      <c r="AM4" s="15">
        <f>+'[1]F-200'!$E$58</f>
        <v>0</v>
      </c>
      <c r="AN4" s="15">
        <f>+'[1]F-200'!$E$59</f>
        <v>0</v>
      </c>
      <c r="AO4" s="15">
        <f>+'[1]F-200'!$E$60</f>
        <v>0</v>
      </c>
      <c r="AP4" s="15">
        <f>+'[1]F-200'!$E$61</f>
        <v>0</v>
      </c>
      <c r="AQ4" s="15">
        <f>+'[1]F-200'!$E$63</f>
        <v>0</v>
      </c>
      <c r="AR4" s="15">
        <f>+'[1]F-200'!$E$64</f>
        <v>0</v>
      </c>
      <c r="AS4" s="15">
        <f>+'[1]F-200'!$E$65</f>
        <v>0</v>
      </c>
      <c r="AT4" s="15">
        <f>+'[1]F-200'!$E$66</f>
        <v>0</v>
      </c>
      <c r="AU4" s="15">
        <f>+'[1]F-200'!$E$68</f>
        <v>0</v>
      </c>
      <c r="AV4" s="15">
        <f>+'[1]F-200'!$E$69</f>
        <v>0</v>
      </c>
      <c r="AW4" s="15">
        <f>+'[1]F-200'!$E$70</f>
        <v>0</v>
      </c>
      <c r="AX4" s="15">
        <f>+'[1]F-200'!$E$72</f>
        <v>0</v>
      </c>
      <c r="AY4" s="15">
        <f>+'[1]F-200'!$E$73</f>
        <v>0</v>
      </c>
      <c r="AZ4" s="18">
        <f t="shared" ref="AZ4:AZ15" si="0">IF(K4&gt;U4,K4-U4,0)</f>
        <v>0</v>
      </c>
      <c r="BA4" s="15">
        <f t="shared" ref="BA4:BA15" si="1">IF(K4&lt;U4,U4-K4,0)</f>
        <v>0</v>
      </c>
      <c r="BB4" s="19">
        <f>+'[1]F-200'!D41</f>
        <v>909</v>
      </c>
      <c r="BC4" s="15">
        <f>+'[1]F-200'!D42</f>
        <v>635</v>
      </c>
      <c r="BD4" s="20">
        <f t="shared" ref="BD4:BD5" si="2">IF(AZ4&gt;(BB4+BC4),AZ4-(BB4+BC4),0)</f>
        <v>0</v>
      </c>
      <c r="BE4" s="20">
        <f>IF(AZ4&lt;=(BB4+BC4),(BB4+BC4+BA4)-AZ4,0)</f>
        <v>1544</v>
      </c>
    </row>
    <row r="5" spans="1:57">
      <c r="A5" s="14" t="s">
        <v>110</v>
      </c>
      <c r="B5" s="15">
        <f>+'[1]F-200'!$F$18</f>
        <v>0</v>
      </c>
      <c r="C5" s="15">
        <f>+'[1]F-200'!$F$19</f>
        <v>0</v>
      </c>
      <c r="D5" s="15">
        <f>+'[1]F-200'!$F$20</f>
        <v>0</v>
      </c>
      <c r="E5" s="15">
        <f>+'[1]F-200'!$F$21</f>
        <v>0</v>
      </c>
      <c r="F5" s="15">
        <f>+'[1]F-200'!$F$22</f>
        <v>0</v>
      </c>
      <c r="G5" s="15">
        <f>+'[1]F-200'!$F$23</f>
        <v>0</v>
      </c>
      <c r="H5" s="16">
        <f>+'[1]F-200'!$F$24</f>
        <v>0</v>
      </c>
      <c r="I5" s="15">
        <f t="shared" ref="I5:I15" si="3">+ROUND((B5+F5+G5+H5)*0.13,0)</f>
        <v>0</v>
      </c>
      <c r="J5" s="15">
        <f>+'[1]F-200'!$F$26</f>
        <v>0</v>
      </c>
      <c r="K5" s="16">
        <f>+'[1]F-200'!$F$27</f>
        <v>0</v>
      </c>
      <c r="L5" s="16">
        <f t="shared" ref="L5:L15" si="4">+ROUND(I5+J5+K5,0)</f>
        <v>0</v>
      </c>
      <c r="M5" s="15">
        <f>+'[1]F-200'!$F$30</f>
        <v>0</v>
      </c>
      <c r="N5" s="15">
        <f>+'[1]F-200'!$F$31</f>
        <v>0</v>
      </c>
      <c r="O5" s="15">
        <f>+'[1]F-200'!$F$32</f>
        <v>0</v>
      </c>
      <c r="P5" s="15">
        <f>+'[1]F-200'!$F$33</f>
        <v>0</v>
      </c>
      <c r="Q5" s="15">
        <f>+'[1]F-200'!$F$34</f>
        <v>0</v>
      </c>
      <c r="R5" s="15">
        <f t="shared" ref="R5:R15" si="5">+ROUND((N5+P5+Q5)*0.13,0)</f>
        <v>0</v>
      </c>
      <c r="S5" s="17">
        <f>+'[1]F-200'!$F$36</f>
        <v>0</v>
      </c>
      <c r="T5" s="15">
        <f>+'[1]F-200'!$F$37</f>
        <v>0</v>
      </c>
      <c r="U5" s="18">
        <f t="shared" ref="U5:U15" si="6">ROUND((R5+S5+T5),0)</f>
        <v>0</v>
      </c>
      <c r="V5" s="15">
        <f>+'[1]F-200'!$F$40</f>
        <v>0</v>
      </c>
      <c r="W5" s="15">
        <f>+'[1]F-200'!$F$41</f>
        <v>0</v>
      </c>
      <c r="X5" s="15">
        <f>+'[1]F-200'!$F$42</f>
        <v>0</v>
      </c>
      <c r="Y5" s="15">
        <f>+'[1]F-200'!$F$43</f>
        <v>1</v>
      </c>
      <c r="Z5" s="15">
        <f>+'[1]F-200'!$F$44</f>
        <v>0</v>
      </c>
      <c r="AA5" s="15">
        <f>+'[1]F-200'!$F$45</f>
        <v>0</v>
      </c>
      <c r="AB5" s="15">
        <f>+'[1]F-200'!$F$46</f>
        <v>0</v>
      </c>
      <c r="AC5" s="15">
        <f>+'[1]F-200'!$F$47</f>
        <v>0</v>
      </c>
      <c r="AD5" s="15">
        <f>+'[1]F-200'!$F$48</f>
        <v>0</v>
      </c>
      <c r="AE5" s="15">
        <f>+'[1]F-200'!$F$49</f>
        <v>0</v>
      </c>
      <c r="AF5" s="15">
        <f>+'[1]F-200'!$F$50</f>
        <v>0</v>
      </c>
      <c r="AG5" s="15">
        <f>+'[1]F-200'!$F$51</f>
        <v>0</v>
      </c>
      <c r="AH5" s="15">
        <f>+'[1]F-200'!$F$52</f>
        <v>0</v>
      </c>
      <c r="AI5" s="15">
        <f>+'[1]F-200'!$F$53</f>
        <v>0</v>
      </c>
      <c r="AJ5" s="15">
        <f>+'[1]F-200'!$F$54</f>
        <v>0</v>
      </c>
      <c r="AK5" s="15">
        <f>+'[1]F-200'!$F$56</f>
        <v>0</v>
      </c>
      <c r="AL5" s="15">
        <f>+'[1]F-200'!$F$57</f>
        <v>0</v>
      </c>
      <c r="AM5" s="15">
        <f>+'[1]F-200'!$F$58</f>
        <v>0</v>
      </c>
      <c r="AN5" s="15">
        <f>+'[1]F-200'!$F$59</f>
        <v>0</v>
      </c>
      <c r="AO5" s="15">
        <f>+'[1]F-200'!$F$60</f>
        <v>0</v>
      </c>
      <c r="AP5" s="15">
        <f>+'[1]F-200'!$F$61</f>
        <v>0</v>
      </c>
      <c r="AQ5" s="15">
        <f>+'[1]F-200'!$F$63</f>
        <v>1</v>
      </c>
      <c r="AR5" s="15">
        <f>+'[1]F-200'!$F$64</f>
        <v>0</v>
      </c>
      <c r="AS5" s="15">
        <f>+'[1]F-200'!$F$65</f>
        <v>0</v>
      </c>
      <c r="AT5" s="15">
        <f>+'[1]F-200'!$F$66</f>
        <v>0</v>
      </c>
      <c r="AU5" s="15">
        <f>+'[1]F-200'!$F$68</f>
        <v>0</v>
      </c>
      <c r="AV5" s="15">
        <f>+'[1]F-200'!$F$69</f>
        <v>0</v>
      </c>
      <c r="AW5" s="15">
        <f>+'[1]F-200'!$F$70</f>
        <v>0</v>
      </c>
      <c r="AX5" s="15">
        <f>+'[1]F-200'!$F$72</f>
        <v>0</v>
      </c>
      <c r="AY5" s="15">
        <f>+'[1]F-200'!$F$73</f>
        <v>0</v>
      </c>
      <c r="AZ5" s="18">
        <f t="shared" si="0"/>
        <v>0</v>
      </c>
      <c r="BA5" s="19">
        <f t="shared" si="1"/>
        <v>0</v>
      </c>
      <c r="BB5" s="19">
        <f>BE4</f>
        <v>1544</v>
      </c>
      <c r="BC5" s="15">
        <f>+'[1]F-200'!$F$43</f>
        <v>1</v>
      </c>
      <c r="BD5" s="20">
        <f t="shared" si="2"/>
        <v>0</v>
      </c>
      <c r="BE5" s="20">
        <f t="shared" ref="BE5" si="7">IF(AZ5&lt;=(BB5+BC5),(BB5+BC5+BA5)-AZ5,0)</f>
        <v>1545</v>
      </c>
    </row>
    <row r="6" spans="1:57">
      <c r="A6" s="14" t="s">
        <v>111</v>
      </c>
      <c r="B6" s="15">
        <f>+'[1]F-200'!$G$18</f>
        <v>0</v>
      </c>
      <c r="C6" s="15">
        <f>+'[1]F-200'!$G$19</f>
        <v>0</v>
      </c>
      <c r="D6" s="15">
        <f>+'[1]F-200'!$G$20</f>
        <v>0</v>
      </c>
      <c r="E6" s="15">
        <f>+'[1]F-200'!$G$21</f>
        <v>0</v>
      </c>
      <c r="F6" s="15">
        <f>+'[1]F-200'!$G$22</f>
        <v>0</v>
      </c>
      <c r="G6" s="15">
        <f>+'[1]F-200'!$G$23</f>
        <v>0</v>
      </c>
      <c r="H6" s="16">
        <f>+'[1]F-200'!$G$24</f>
        <v>0</v>
      </c>
      <c r="I6" s="15">
        <f t="shared" si="3"/>
        <v>0</v>
      </c>
      <c r="J6" s="15">
        <f>+'[1]F-200'!$G$26</f>
        <v>0</v>
      </c>
      <c r="K6" s="16">
        <f>+'[1]F-200'!$G$27</f>
        <v>0</v>
      </c>
      <c r="L6" s="16">
        <f t="shared" si="4"/>
        <v>0</v>
      </c>
      <c r="M6" s="15">
        <f>+'[1]F-200'!$G$30</f>
        <v>0</v>
      </c>
      <c r="N6" s="15">
        <f>+'[1]F-200'!$G$31</f>
        <v>0</v>
      </c>
      <c r="O6" s="15">
        <f>+'[1]F-200'!$G$32</f>
        <v>0</v>
      </c>
      <c r="P6" s="15">
        <f>+'[1]F-200'!$G$33</f>
        <v>0</v>
      </c>
      <c r="Q6" s="15">
        <f>+'[1]F-200'!$G$34</f>
        <v>0</v>
      </c>
      <c r="R6" s="15">
        <f t="shared" si="5"/>
        <v>0</v>
      </c>
      <c r="S6" s="17">
        <f>+'[1]F-200'!$G$36</f>
        <v>0</v>
      </c>
      <c r="T6" s="15">
        <f>+'[1]F-200'!$G$37</f>
        <v>0</v>
      </c>
      <c r="U6" s="18">
        <f t="shared" si="6"/>
        <v>0</v>
      </c>
      <c r="V6" s="15">
        <f>+'[1]F-200'!$G$40</f>
        <v>0</v>
      </c>
      <c r="W6" s="15">
        <f>+'[1]F-200'!$G$41</f>
        <v>0</v>
      </c>
      <c r="X6" s="15">
        <f>+'[1]F-200'!$G$42</f>
        <v>1</v>
      </c>
      <c r="Y6" s="15">
        <f>+'[1]F-200'!$G$43</f>
        <v>1</v>
      </c>
      <c r="Z6" s="15">
        <f>+'[1]F-200'!$G$44</f>
        <v>0</v>
      </c>
      <c r="AA6" s="15">
        <f>+'[1]F-200'!$G$45</f>
        <v>0</v>
      </c>
      <c r="AB6" s="15">
        <f>+'[1]F-200'!$G$46</f>
        <v>0</v>
      </c>
      <c r="AC6" s="15">
        <f>+'[1]F-200'!$G$47</f>
        <v>0</v>
      </c>
      <c r="AD6" s="15">
        <f>+'[1]F-200'!$G$48</f>
        <v>0</v>
      </c>
      <c r="AE6" s="15">
        <f>+'[1]F-200'!$G$49</f>
        <v>0</v>
      </c>
      <c r="AF6" s="15">
        <f>+'[1]F-200'!$G$50</f>
        <v>0</v>
      </c>
      <c r="AG6" s="15">
        <f>+'[1]F-200'!$G$51</f>
        <v>0</v>
      </c>
      <c r="AH6" s="15">
        <f>+'[1]F-200'!$G$52</f>
        <v>0</v>
      </c>
      <c r="AI6" s="15">
        <f>+'[1]F-200'!$G$53</f>
        <v>0</v>
      </c>
      <c r="AJ6" s="15">
        <f>+'[1]F-200'!$G$54</f>
        <v>0</v>
      </c>
      <c r="AK6" s="15">
        <f>+'[1]F-200'!$G$56</f>
        <v>0</v>
      </c>
      <c r="AL6" s="15">
        <f>+'[1]F-200'!$G$57</f>
        <v>0</v>
      </c>
      <c r="AM6" s="15">
        <f>+'[1]F-200'!$G$58</f>
        <v>0</v>
      </c>
      <c r="AN6" s="15">
        <f>+'[1]F-200'!$G$59</f>
        <v>0</v>
      </c>
      <c r="AO6" s="15">
        <f>+'[1]F-200'!$G$60</f>
        <v>0</v>
      </c>
      <c r="AP6" s="15">
        <f>+'[1]F-200'!$G$61</f>
        <v>0</v>
      </c>
      <c r="AQ6" s="15">
        <f>+'[1]F-200'!$G$63</f>
        <v>2</v>
      </c>
      <c r="AR6" s="15">
        <f>+'[1]F-200'!$G$64</f>
        <v>0</v>
      </c>
      <c r="AS6" s="15">
        <f>+'[1]F-200'!$G$65</f>
        <v>0</v>
      </c>
      <c r="AT6" s="15">
        <f>+'[1]F-200'!$G$66</f>
        <v>0</v>
      </c>
      <c r="AU6" s="15">
        <f>+'[1]F-200'!$G$68</f>
        <v>0</v>
      </c>
      <c r="AV6" s="15">
        <f>+'[1]F-200'!$G$69</f>
        <v>0</v>
      </c>
      <c r="AW6" s="15">
        <f>+'[1]F-200'!$G$70</f>
        <v>0</v>
      </c>
      <c r="AX6" s="15">
        <f>+'[1]F-200'!$G$72</f>
        <v>0</v>
      </c>
      <c r="AY6" s="15">
        <f>+'[1]F-200'!$G$73</f>
        <v>0</v>
      </c>
      <c r="AZ6" s="18">
        <f t="shared" si="0"/>
        <v>0</v>
      </c>
      <c r="BA6" s="19">
        <f t="shared" si="1"/>
        <v>0</v>
      </c>
      <c r="BB6" s="19">
        <f t="shared" ref="BB6:BB15" si="8">BE5</f>
        <v>1545</v>
      </c>
      <c r="BC6" s="15">
        <f>+'[1]F-200'!$G$43</f>
        <v>1</v>
      </c>
      <c r="BD6" s="20">
        <f>IF(AZ6&gt;(BB6+BC6),AZ6-(BB6+BC6),0)</f>
        <v>0</v>
      </c>
      <c r="BE6" s="20">
        <f>IF(AZ6&lt;=(BB6+BC6),(BB6+BC6+BA6)-AZ6,0)</f>
        <v>1546</v>
      </c>
    </row>
    <row r="7" spans="1:57">
      <c r="A7" s="14" t="s">
        <v>112</v>
      </c>
      <c r="B7" s="15">
        <f>+'[1]F-200'!$H$18</f>
        <v>0</v>
      </c>
      <c r="C7" s="15">
        <f>+'[1]F-200'!$H$19</f>
        <v>0</v>
      </c>
      <c r="D7" s="15">
        <f>+'[1]F-200'!$H$20</f>
        <v>0</v>
      </c>
      <c r="E7" s="15">
        <f>+'[1]F-200'!$H$21</f>
        <v>0</v>
      </c>
      <c r="F7" s="15">
        <f>+'[1]F-200'!$H$22</f>
        <v>0</v>
      </c>
      <c r="G7" s="15">
        <f>+'[1]F-200'!$H$23</f>
        <v>0</v>
      </c>
      <c r="H7" s="16">
        <f>+'[1]F-200'!$H$24</f>
        <v>0</v>
      </c>
      <c r="I7" s="15">
        <f t="shared" si="3"/>
        <v>0</v>
      </c>
      <c r="J7" s="15">
        <f>+'[1]F-200'!$H$26</f>
        <v>0</v>
      </c>
      <c r="K7" s="16">
        <f>+'[1]F-200'!$H$27</f>
        <v>0</v>
      </c>
      <c r="L7" s="16">
        <f t="shared" si="4"/>
        <v>0</v>
      </c>
      <c r="M7" s="15">
        <f>+'[1]F-200'!$H$30</f>
        <v>0</v>
      </c>
      <c r="N7" s="15">
        <f>+'[1]F-200'!$H$31</f>
        <v>0</v>
      </c>
      <c r="O7" s="15">
        <f>+'[1]F-200'!$H$32</f>
        <v>0</v>
      </c>
      <c r="P7" s="15">
        <f>+'[1]F-200'!$H$33</f>
        <v>0</v>
      </c>
      <c r="Q7" s="15">
        <f>+'[1]F-200'!$H$34</f>
        <v>0</v>
      </c>
      <c r="R7" s="15">
        <f t="shared" si="5"/>
        <v>0</v>
      </c>
      <c r="S7" s="17">
        <f>+'[1]F-200'!$H$36</f>
        <v>0</v>
      </c>
      <c r="T7" s="15">
        <f>+'[1]F-200'!$H$37</f>
        <v>0</v>
      </c>
      <c r="U7" s="21">
        <f t="shared" si="6"/>
        <v>0</v>
      </c>
      <c r="V7" s="15">
        <f>+'[1]F-200'!$H$40</f>
        <v>0</v>
      </c>
      <c r="W7" s="15">
        <f>+'[1]F-200'!$H$41</f>
        <v>0</v>
      </c>
      <c r="X7" s="15">
        <f>+'[1]F-200'!$H$42</f>
        <v>2</v>
      </c>
      <c r="Y7" s="15">
        <f>+'[1]F-200'!$H$43</f>
        <v>0</v>
      </c>
      <c r="Z7" s="15">
        <f>+'[1]F-200'!$H$44</f>
        <v>0</v>
      </c>
      <c r="AA7" s="15">
        <f>+'[1]F-200'!$H$45</f>
        <v>0</v>
      </c>
      <c r="AB7" s="15">
        <f>+'[1]F-200'!$H$46</f>
        <v>0</v>
      </c>
      <c r="AC7" s="15">
        <f>+'[1]F-200'!$H$47</f>
        <v>0</v>
      </c>
      <c r="AD7" s="15">
        <f>+'[1]F-200'!$H$48</f>
        <v>0</v>
      </c>
      <c r="AE7" s="15">
        <f>+'[1]F-200'!$H$49</f>
        <v>0</v>
      </c>
      <c r="AF7" s="15">
        <f>+'[1]F-200'!$H$50</f>
        <v>0</v>
      </c>
      <c r="AG7" s="15">
        <f>+'[1]F-200'!$H$51</f>
        <v>0</v>
      </c>
      <c r="AH7" s="15">
        <f>+'[1]F-200'!$H$52</f>
        <v>0</v>
      </c>
      <c r="AI7" s="15">
        <f>+'[1]F-200'!$H$53</f>
        <v>0</v>
      </c>
      <c r="AJ7" s="15">
        <f>+'[1]F-200'!$H$54</f>
        <v>0</v>
      </c>
      <c r="AK7" s="15">
        <f>+'[1]F-200'!$H$56</f>
        <v>0</v>
      </c>
      <c r="AL7" s="15">
        <f>+'[1]F-200'!$H$57</f>
        <v>0</v>
      </c>
      <c r="AM7" s="15">
        <f>+'[1]F-200'!$H$58</f>
        <v>0</v>
      </c>
      <c r="AN7" s="15">
        <f>+'[1]F-200'!$H$59</f>
        <v>0</v>
      </c>
      <c r="AO7" s="15">
        <f>+'[1]F-200'!$H$60</f>
        <v>0</v>
      </c>
      <c r="AP7" s="15">
        <f>+'[1]F-200'!$H$61</f>
        <v>0</v>
      </c>
      <c r="AQ7" s="15">
        <f>+'[1]F-200'!$H$63</f>
        <v>2</v>
      </c>
      <c r="AR7" s="15">
        <f>+'[1]F-200'!$H$64</f>
        <v>0</v>
      </c>
      <c r="AS7" s="15">
        <f>+'[1]F-200'!$H$65</f>
        <v>0</v>
      </c>
      <c r="AT7" s="15">
        <f>+'[1]F-200'!$H$66</f>
        <v>0</v>
      </c>
      <c r="AU7" s="15">
        <f>+'[1]F-200'!$H$68</f>
        <v>0</v>
      </c>
      <c r="AV7" s="15">
        <f>+'[1]F-200'!$H$69</f>
        <v>0</v>
      </c>
      <c r="AW7" s="15">
        <f>+'[1]F-200'!$H$70</f>
        <v>0</v>
      </c>
      <c r="AX7" s="15">
        <f>+'[1]F-200'!$H$72</f>
        <v>0</v>
      </c>
      <c r="AY7" s="15">
        <f>+'[1]F-200'!$H$73</f>
        <v>0</v>
      </c>
      <c r="AZ7" s="19">
        <f t="shared" si="0"/>
        <v>0</v>
      </c>
      <c r="BA7" s="19">
        <f t="shared" si="1"/>
        <v>0</v>
      </c>
      <c r="BB7" s="19">
        <f t="shared" si="8"/>
        <v>1546</v>
      </c>
      <c r="BC7" s="15">
        <f>+'[1]F-200'!$H$43</f>
        <v>0</v>
      </c>
      <c r="BD7" s="20">
        <f t="shared" ref="BD7:BD15" si="9">IF(AZ7&gt;(BB7+BC7),AZ7-(BB7+BC7),0)</f>
        <v>0</v>
      </c>
      <c r="BE7" s="20">
        <f t="shared" ref="BE7:BE15" si="10">IF(AZ7&lt;=(BB7+BC7),(BB7+BC7+BA7)-AZ7,0)</f>
        <v>1546</v>
      </c>
    </row>
    <row r="8" spans="1:57">
      <c r="A8" s="14" t="s">
        <v>113</v>
      </c>
      <c r="B8" s="15">
        <f>+'[1]F-200'!$I$18</f>
        <v>0</v>
      </c>
      <c r="C8" s="15">
        <f>+'[1]F-200'!$I$19</f>
        <v>0</v>
      </c>
      <c r="D8" s="15">
        <f>+'[1]F-200'!$I$20</f>
        <v>0</v>
      </c>
      <c r="E8" s="15">
        <f>+'[1]F-200'!$I$21</f>
        <v>0</v>
      </c>
      <c r="F8" s="15">
        <f>+'[1]F-200'!$I$22</f>
        <v>0</v>
      </c>
      <c r="G8" s="15">
        <f>+'[1]F-200'!$I$23</f>
        <v>0</v>
      </c>
      <c r="H8" s="16">
        <f>+'[1]F-200'!$I$24</f>
        <v>0</v>
      </c>
      <c r="I8" s="15">
        <f t="shared" si="3"/>
        <v>0</v>
      </c>
      <c r="J8" s="15">
        <f>+'[1]F-200'!$I$26</f>
        <v>0</v>
      </c>
      <c r="K8" s="16">
        <f>+'[1]F-200'!$I$27</f>
        <v>0</v>
      </c>
      <c r="L8" s="16">
        <f t="shared" si="4"/>
        <v>0</v>
      </c>
      <c r="M8" s="15">
        <f>+'[1]F-200'!$I$30</f>
        <v>0</v>
      </c>
      <c r="N8" s="15">
        <f>+'[1]F-200'!$I$31</f>
        <v>0</v>
      </c>
      <c r="O8" s="15">
        <f>+'[1]F-200'!$I$32</f>
        <v>0</v>
      </c>
      <c r="P8" s="15">
        <f>+'[1]F-200'!$I$33</f>
        <v>0</v>
      </c>
      <c r="Q8" s="15">
        <f>+'[1]F-200'!$I$34</f>
        <v>0</v>
      </c>
      <c r="R8" s="15">
        <f t="shared" si="5"/>
        <v>0</v>
      </c>
      <c r="S8" s="17">
        <f>+'[1]F-200'!$I$36</f>
        <v>0</v>
      </c>
      <c r="T8" s="15">
        <f>+'[1]F-200'!$I$37</f>
        <v>0</v>
      </c>
      <c r="U8" s="21">
        <f t="shared" si="6"/>
        <v>0</v>
      </c>
      <c r="V8" s="15">
        <f>+'[1]F-200'!$I$40</f>
        <v>0</v>
      </c>
      <c r="W8" s="15">
        <f>+'[1]F-200'!$I$41</f>
        <v>0</v>
      </c>
      <c r="X8" s="15">
        <f>+'[1]F-200'!$I$42</f>
        <v>2</v>
      </c>
      <c r="Y8" s="15">
        <f>+'[1]F-200'!$I$43</f>
        <v>0</v>
      </c>
      <c r="Z8" s="15">
        <f>+'[1]F-200'!$I$44</f>
        <v>0</v>
      </c>
      <c r="AA8" s="15">
        <f>+'[1]F-200'!$I$45</f>
        <v>0</v>
      </c>
      <c r="AB8" s="15">
        <f>+'[1]F-200'!$I$46</f>
        <v>0</v>
      </c>
      <c r="AC8" s="15">
        <f>+'[1]F-200'!$I$47</f>
        <v>0</v>
      </c>
      <c r="AD8" s="15">
        <f>+'[1]F-200'!$I$48</f>
        <v>0</v>
      </c>
      <c r="AE8" s="15">
        <f>+'[1]F-200'!$I$49</f>
        <v>0</v>
      </c>
      <c r="AF8" s="15">
        <f>+'[1]F-200'!$I$50</f>
        <v>0</v>
      </c>
      <c r="AG8" s="15">
        <f>+'[1]F-200'!$I$51</f>
        <v>0</v>
      </c>
      <c r="AH8" s="15">
        <f>+'[1]F-200'!$I$52</f>
        <v>0</v>
      </c>
      <c r="AI8" s="15">
        <f>+'[1]F-200'!$I$53</f>
        <v>0</v>
      </c>
      <c r="AJ8" s="15">
        <f>+'[1]F-200'!$I$54</f>
        <v>0</v>
      </c>
      <c r="AK8" s="15">
        <f>+'[1]F-200'!$I$56</f>
        <v>0</v>
      </c>
      <c r="AL8" s="15">
        <f>+'[1]F-200'!$I$57</f>
        <v>0</v>
      </c>
      <c r="AM8" s="15">
        <f>+'[1]F-200'!$I$58</f>
        <v>0</v>
      </c>
      <c r="AN8" s="15">
        <f>+'[1]F-200'!$I$59</f>
        <v>0</v>
      </c>
      <c r="AO8" s="15">
        <f>+'[1]F-200'!$I$60</f>
        <v>0</v>
      </c>
      <c r="AP8" s="15">
        <f>+'[1]F-200'!$I$61</f>
        <v>0</v>
      </c>
      <c r="AQ8" s="15">
        <f>+'[1]F-200'!$I$63</f>
        <v>2</v>
      </c>
      <c r="AR8" s="15">
        <f>+'[1]F-200'!$I$64</f>
        <v>0</v>
      </c>
      <c r="AS8" s="15">
        <f>+'[1]F-200'!$I$65</f>
        <v>0</v>
      </c>
      <c r="AT8" s="15">
        <f>+'[1]F-200'!$I$66</f>
        <v>0</v>
      </c>
      <c r="AU8" s="15">
        <f>+'[1]F-200'!$I$68</f>
        <v>0</v>
      </c>
      <c r="AV8" s="15">
        <f>+'[1]F-200'!$I$69</f>
        <v>0</v>
      </c>
      <c r="AW8" s="15">
        <f>+'[1]F-200'!$I$70</f>
        <v>0</v>
      </c>
      <c r="AX8" s="15">
        <f>+'[1]F-200'!$I$72</f>
        <v>0</v>
      </c>
      <c r="AY8" s="15">
        <f>+'[1]F-200'!$I$73</f>
        <v>0</v>
      </c>
      <c r="AZ8" s="19">
        <f t="shared" si="0"/>
        <v>0</v>
      </c>
      <c r="BA8" s="19">
        <f t="shared" si="1"/>
        <v>0</v>
      </c>
      <c r="BB8" s="19">
        <f>BE7</f>
        <v>1546</v>
      </c>
      <c r="BC8" s="15">
        <f>+'[1]F-200'!$I$43</f>
        <v>0</v>
      </c>
      <c r="BD8" s="20">
        <f t="shared" si="9"/>
        <v>0</v>
      </c>
      <c r="BE8" s="20">
        <f t="shared" si="10"/>
        <v>1546</v>
      </c>
    </row>
    <row r="9" spans="1:57">
      <c r="A9" s="14" t="s">
        <v>114</v>
      </c>
      <c r="B9" s="15">
        <f>+'[1]F-200'!$J$18</f>
        <v>0</v>
      </c>
      <c r="C9" s="15">
        <f>+'[1]F-200'!$J$19</f>
        <v>0</v>
      </c>
      <c r="D9" s="15">
        <f>+'[1]F-200'!$J$20</f>
        <v>0</v>
      </c>
      <c r="E9" s="15">
        <f>+'[1]F-200'!$J$21</f>
        <v>0</v>
      </c>
      <c r="F9" s="15">
        <f>+'[1]F-200'!$J$22</f>
        <v>0</v>
      </c>
      <c r="G9" s="15">
        <f>+'[1]F-200'!$J$23</f>
        <v>0</v>
      </c>
      <c r="H9" s="16">
        <f>+'[1]F-200'!$J$24</f>
        <v>0</v>
      </c>
      <c r="I9" s="15">
        <f t="shared" si="3"/>
        <v>0</v>
      </c>
      <c r="J9" s="15">
        <f>+'[1]F-200'!$J$26</f>
        <v>0</v>
      </c>
      <c r="K9" s="16">
        <f>+'[1]F-200'!$J$27</f>
        <v>0</v>
      </c>
      <c r="L9" s="16">
        <f t="shared" si="4"/>
        <v>0</v>
      </c>
      <c r="M9" s="15">
        <f>+'[1]F-200'!$J$30</f>
        <v>0</v>
      </c>
      <c r="N9" s="15">
        <f>+'[1]F-200'!$J$31</f>
        <v>0</v>
      </c>
      <c r="O9" s="15">
        <f>+'[1]F-200'!$J$32</f>
        <v>0</v>
      </c>
      <c r="P9" s="15">
        <f>+'[1]F-200'!$J$33</f>
        <v>0</v>
      </c>
      <c r="Q9" s="15">
        <f>+'[1]F-200'!$J$34</f>
        <v>0</v>
      </c>
      <c r="R9" s="15">
        <f t="shared" si="5"/>
        <v>0</v>
      </c>
      <c r="S9" s="17">
        <f>+'[1]F-200'!$J$36</f>
        <v>0</v>
      </c>
      <c r="T9" s="15">
        <f>+'[1]F-200'!$J$37</f>
        <v>0</v>
      </c>
      <c r="U9" s="21">
        <f t="shared" si="6"/>
        <v>0</v>
      </c>
      <c r="V9" s="15">
        <f>+'[1]F-200'!$J$40</f>
        <v>0</v>
      </c>
      <c r="W9" s="15">
        <f>+'[1]F-200'!$J$41</f>
        <v>0</v>
      </c>
      <c r="X9" s="15">
        <f>+'[1]F-200'!$J$42</f>
        <v>2</v>
      </c>
      <c r="Y9" s="15">
        <f>+'[1]F-200'!$J$43</f>
        <v>0</v>
      </c>
      <c r="Z9" s="15">
        <f>+'[1]F-200'!$J$44</f>
        <v>0</v>
      </c>
      <c r="AA9" s="15">
        <f>+'[1]F-200'!$J$45</f>
        <v>0</v>
      </c>
      <c r="AB9" s="15">
        <f>+'[1]F-200'!$J$46</f>
        <v>0</v>
      </c>
      <c r="AC9" s="15">
        <f>+'[1]F-200'!$J$47</f>
        <v>0</v>
      </c>
      <c r="AD9" s="15">
        <f>+'[1]F-200'!$J$48</f>
        <v>0</v>
      </c>
      <c r="AE9" s="15">
        <f>+'[1]F-200'!$J$49</f>
        <v>0</v>
      </c>
      <c r="AF9" s="15">
        <f>+'[1]F-200'!$J$50</f>
        <v>0</v>
      </c>
      <c r="AG9" s="15">
        <f>+'[1]F-200'!$J$51</f>
        <v>0</v>
      </c>
      <c r="AH9" s="15">
        <f>+'[1]F-200'!$J$52</f>
        <v>0</v>
      </c>
      <c r="AI9" s="15">
        <f>+'[1]F-200'!$J$53</f>
        <v>0</v>
      </c>
      <c r="AJ9" s="15">
        <f>+'[1]F-200'!$J$54</f>
        <v>0</v>
      </c>
      <c r="AK9" s="15">
        <f>+'[1]F-200'!$J$56</f>
        <v>0</v>
      </c>
      <c r="AL9" s="15">
        <f>+'[1]F-200'!$J$57</f>
        <v>0</v>
      </c>
      <c r="AM9" s="15">
        <f>+'[1]F-200'!$J$58</f>
        <v>0</v>
      </c>
      <c r="AN9" s="15">
        <f>+'[1]F-200'!$J$59</f>
        <v>0</v>
      </c>
      <c r="AO9" s="15">
        <f>+'[1]F-200'!$J$60</f>
        <v>0</v>
      </c>
      <c r="AP9" s="15">
        <f>+'[1]F-200'!$J$61</f>
        <v>0</v>
      </c>
      <c r="AQ9" s="15">
        <f>+'[1]F-200'!$J$63</f>
        <v>2</v>
      </c>
      <c r="AR9" s="15">
        <f>+'[1]F-200'!$J$64</f>
        <v>0</v>
      </c>
      <c r="AS9" s="15">
        <f>+'[1]F-200'!$J$65</f>
        <v>0</v>
      </c>
      <c r="AT9" s="15">
        <f>+'[1]F-200'!$J$66</f>
        <v>0</v>
      </c>
      <c r="AU9" s="15">
        <f>+'[1]F-200'!$J$68</f>
        <v>0</v>
      </c>
      <c r="AV9" s="15">
        <f>+'[1]F-200'!$J$69</f>
        <v>0</v>
      </c>
      <c r="AW9" s="15">
        <f>+'[1]F-200'!$J$70</f>
        <v>0</v>
      </c>
      <c r="AX9" s="15">
        <f>+'[1]F-200'!$J$72</f>
        <v>0</v>
      </c>
      <c r="AY9" s="15">
        <f>+'[1]F-200'!$J$73</f>
        <v>0</v>
      </c>
      <c r="AZ9" s="19">
        <f t="shared" si="0"/>
        <v>0</v>
      </c>
      <c r="BA9" s="19">
        <f t="shared" si="1"/>
        <v>0</v>
      </c>
      <c r="BB9" s="19">
        <f t="shared" si="8"/>
        <v>1546</v>
      </c>
      <c r="BC9" s="15">
        <f>+'[1]F-200'!$J$43</f>
        <v>0</v>
      </c>
      <c r="BD9" s="20">
        <f t="shared" si="9"/>
        <v>0</v>
      </c>
      <c r="BE9" s="20">
        <f t="shared" si="10"/>
        <v>1546</v>
      </c>
    </row>
    <row r="10" spans="1:57">
      <c r="A10" s="14" t="s">
        <v>115</v>
      </c>
      <c r="B10" s="15">
        <f>+'[1]F-200'!$K$18</f>
        <v>0</v>
      </c>
      <c r="C10" s="15">
        <f>+'[1]F-200'!$K$19</f>
        <v>0</v>
      </c>
      <c r="D10" s="15">
        <f>+'[1]F-200'!$K$20</f>
        <v>0</v>
      </c>
      <c r="E10" s="15">
        <f>+'[1]F-200'!$K$21</f>
        <v>0</v>
      </c>
      <c r="F10" s="15">
        <f>+'[1]F-200'!$K$22</f>
        <v>0</v>
      </c>
      <c r="G10" s="15">
        <f>+'[1]F-200'!$K$23</f>
        <v>0</v>
      </c>
      <c r="H10" s="16">
        <f>+'[1]F-200'!$K$24</f>
        <v>0</v>
      </c>
      <c r="I10" s="15">
        <f t="shared" si="3"/>
        <v>0</v>
      </c>
      <c r="J10" s="15">
        <f>+'[1]F-200'!$K$26</f>
        <v>0</v>
      </c>
      <c r="K10" s="16">
        <f>+'[1]F-200'!$K$27</f>
        <v>0</v>
      </c>
      <c r="L10" s="16">
        <f t="shared" si="4"/>
        <v>0</v>
      </c>
      <c r="M10" s="15">
        <f>+'[1]F-200'!$K$30</f>
        <v>0</v>
      </c>
      <c r="N10" s="15">
        <f>+'[1]F-200'!$K$31</f>
        <v>0</v>
      </c>
      <c r="O10" s="15">
        <f>+'[1]F-200'!$K$32</f>
        <v>0</v>
      </c>
      <c r="P10" s="15">
        <f>+'[1]F-200'!$K$33</f>
        <v>0</v>
      </c>
      <c r="Q10" s="15">
        <f>+'[1]F-200'!$K$34</f>
        <v>0</v>
      </c>
      <c r="R10" s="15">
        <f t="shared" si="5"/>
        <v>0</v>
      </c>
      <c r="S10" s="17">
        <f>+'[1]F-200'!$K$36</f>
        <v>0</v>
      </c>
      <c r="T10" s="15">
        <f>+'[1]F-200'!$K$37</f>
        <v>0</v>
      </c>
      <c r="U10" s="21">
        <f t="shared" si="6"/>
        <v>0</v>
      </c>
      <c r="V10" s="15">
        <f>+'[1]F-200'!$K$40</f>
        <v>0</v>
      </c>
      <c r="W10" s="15">
        <f>+'[1]F-200'!$K$41</f>
        <v>0</v>
      </c>
      <c r="X10" s="15">
        <f>+'[1]F-200'!$K$42</f>
        <v>2</v>
      </c>
      <c r="Y10" s="15">
        <f>+'[1]F-200'!$K$43</f>
        <v>0</v>
      </c>
      <c r="Z10" s="15">
        <f>+'[1]F-200'!$K$44</f>
        <v>0</v>
      </c>
      <c r="AA10" s="15">
        <f>+'[1]F-200'!$K$45</f>
        <v>0</v>
      </c>
      <c r="AB10" s="15">
        <f>+'[1]F-200'!$K$46</f>
        <v>0</v>
      </c>
      <c r="AC10" s="15">
        <f>+'[1]F-200'!$K$47</f>
        <v>0</v>
      </c>
      <c r="AD10" s="15">
        <f>+'[1]F-200'!$K$48</f>
        <v>0</v>
      </c>
      <c r="AE10" s="15">
        <f>+'[1]F-200'!$K$49</f>
        <v>0</v>
      </c>
      <c r="AF10" s="15">
        <f>+'[1]F-200'!$K$50</f>
        <v>0</v>
      </c>
      <c r="AG10" s="15">
        <f>+'[1]F-200'!$K$51</f>
        <v>0</v>
      </c>
      <c r="AH10" s="15">
        <f>+'[1]F-200'!$K$52</f>
        <v>0</v>
      </c>
      <c r="AI10" s="15">
        <f>+'[1]F-200'!$K$53</f>
        <v>0</v>
      </c>
      <c r="AJ10" s="15">
        <f>+'[1]F-200'!$K$54</f>
        <v>0</v>
      </c>
      <c r="AK10" s="15">
        <f>+'[1]F-200'!$K$56</f>
        <v>0</v>
      </c>
      <c r="AL10" s="15">
        <f>+'[1]F-200'!$K$57</f>
        <v>0</v>
      </c>
      <c r="AM10" s="15">
        <f>+'[1]F-200'!$K$58</f>
        <v>0</v>
      </c>
      <c r="AN10" s="15">
        <f>+'[1]F-200'!$K$59</f>
        <v>0</v>
      </c>
      <c r="AO10" s="15">
        <f>+'[1]F-200'!$K$60</f>
        <v>0</v>
      </c>
      <c r="AP10" s="15">
        <f>+'[1]F-200'!$K$61</f>
        <v>0</v>
      </c>
      <c r="AQ10" s="15">
        <f>+'[1]F-200'!$K$63</f>
        <v>2</v>
      </c>
      <c r="AR10" s="15">
        <f>+'[1]F-200'!$K$64</f>
        <v>0</v>
      </c>
      <c r="AS10" s="15">
        <f>+'[1]F-200'!$K$65</f>
        <v>0</v>
      </c>
      <c r="AT10" s="15">
        <f>+'[1]F-200'!$K$66</f>
        <v>0</v>
      </c>
      <c r="AU10" s="15">
        <f>+'[1]F-200'!$K$68</f>
        <v>0</v>
      </c>
      <c r="AV10" s="15">
        <f>+'[1]F-200'!$K$69</f>
        <v>0</v>
      </c>
      <c r="AW10" s="15">
        <f>+'[1]F-200'!$K$70</f>
        <v>0</v>
      </c>
      <c r="AX10" s="15">
        <f>+'[1]F-200'!$K$72</f>
        <v>0</v>
      </c>
      <c r="AY10" s="15">
        <f>+'[1]F-200'!$K$73</f>
        <v>0</v>
      </c>
      <c r="AZ10" s="19">
        <f t="shared" si="0"/>
        <v>0</v>
      </c>
      <c r="BA10" s="19">
        <f t="shared" si="1"/>
        <v>0</v>
      </c>
      <c r="BB10" s="19">
        <f t="shared" si="8"/>
        <v>1546</v>
      </c>
      <c r="BC10" s="15">
        <f>+'[1]F-200'!$K$43</f>
        <v>0</v>
      </c>
      <c r="BD10" s="20">
        <f t="shared" si="9"/>
        <v>0</v>
      </c>
      <c r="BE10" s="20">
        <f t="shared" si="10"/>
        <v>1546</v>
      </c>
    </row>
    <row r="11" spans="1:57">
      <c r="A11" s="14" t="s">
        <v>116</v>
      </c>
      <c r="B11" s="15">
        <f>+'[1]F-200'!$L$18</f>
        <v>0</v>
      </c>
      <c r="C11" s="15">
        <f>+'[1]F-200'!$L$19</f>
        <v>0</v>
      </c>
      <c r="D11" s="15">
        <f>+'[1]F-200'!$L$20</f>
        <v>0</v>
      </c>
      <c r="E11" s="15">
        <f>+'[1]F-200'!$L$21</f>
        <v>0</v>
      </c>
      <c r="F11" s="15">
        <f>+'[1]F-200'!$L$22</f>
        <v>0</v>
      </c>
      <c r="G11" s="15">
        <f>+'[1]F-200'!$L$23</f>
        <v>0</v>
      </c>
      <c r="H11" s="16">
        <f>+'[1]F-200'!$L$24</f>
        <v>0</v>
      </c>
      <c r="I11" s="15">
        <f t="shared" si="3"/>
        <v>0</v>
      </c>
      <c r="J11" s="15">
        <f>+'[1]F-200'!$L$26</f>
        <v>0</v>
      </c>
      <c r="K11" s="16">
        <f>+'[1]F-200'!$L$27</f>
        <v>0</v>
      </c>
      <c r="L11" s="16">
        <f t="shared" si="4"/>
        <v>0</v>
      </c>
      <c r="M11" s="15">
        <f>+'[1]F-200'!$L$30</f>
        <v>0</v>
      </c>
      <c r="N11" s="15">
        <f>+'[1]F-200'!$L$31</f>
        <v>0</v>
      </c>
      <c r="O11" s="15">
        <f>+'[1]F-200'!$L$32</f>
        <v>0</v>
      </c>
      <c r="P11" s="15">
        <f>+'[1]F-200'!$L$33</f>
        <v>0</v>
      </c>
      <c r="Q11" s="15">
        <f>+'[1]F-200'!$L$34</f>
        <v>0</v>
      </c>
      <c r="R11" s="15">
        <f t="shared" si="5"/>
        <v>0</v>
      </c>
      <c r="S11" s="17">
        <f>+'[1]F-200'!$L$36</f>
        <v>0</v>
      </c>
      <c r="T11" s="15">
        <f>+'[1]F-200'!$L$37</f>
        <v>0</v>
      </c>
      <c r="U11" s="21">
        <f t="shared" si="6"/>
        <v>0</v>
      </c>
      <c r="V11" s="15">
        <f>+'[1]F-200'!$L$40</f>
        <v>0</v>
      </c>
      <c r="W11" s="15">
        <f>+'[1]F-200'!$L$41</f>
        <v>0</v>
      </c>
      <c r="X11" s="15">
        <f>+'[1]F-200'!$L$42</f>
        <v>2</v>
      </c>
      <c r="Y11" s="15">
        <f>+'[1]F-200'!$L$43</f>
        <v>0</v>
      </c>
      <c r="Z11" s="15">
        <f>+'[1]F-200'!$L$44</f>
        <v>0</v>
      </c>
      <c r="AA11" s="15">
        <f>+'[1]F-200'!$L$45</f>
        <v>0</v>
      </c>
      <c r="AB11" s="15">
        <f>+'[1]F-200'!$L$46</f>
        <v>0</v>
      </c>
      <c r="AC11" s="15">
        <f>+'[1]F-200'!$L$47</f>
        <v>0</v>
      </c>
      <c r="AD11" s="15">
        <f>+'[1]F-200'!$L$48</f>
        <v>0</v>
      </c>
      <c r="AE11" s="15">
        <f>+'[1]F-200'!$L$49</f>
        <v>0</v>
      </c>
      <c r="AF11" s="15">
        <f>+'[1]F-200'!$L$50</f>
        <v>0</v>
      </c>
      <c r="AG11" s="15">
        <f>+'[1]F-200'!$L$51</f>
        <v>0</v>
      </c>
      <c r="AH11" s="15">
        <f>+'[1]F-200'!$L$52</f>
        <v>0</v>
      </c>
      <c r="AI11" s="15">
        <f>+'[1]F-200'!$L$53</f>
        <v>0</v>
      </c>
      <c r="AJ11" s="15">
        <f>+'[1]F-200'!$L$54</f>
        <v>0</v>
      </c>
      <c r="AK11" s="15">
        <f>+'[1]F-200'!$L$56</f>
        <v>0</v>
      </c>
      <c r="AL11" s="15">
        <f>+'[1]F-200'!$L$57</f>
        <v>0</v>
      </c>
      <c r="AM11" s="15">
        <f>+'[1]F-200'!$L$58</f>
        <v>0</v>
      </c>
      <c r="AN11" s="15">
        <f>+'[1]F-200'!$L$59</f>
        <v>0</v>
      </c>
      <c r="AO11" s="15">
        <f>+'[1]F-200'!$L$60</f>
        <v>0</v>
      </c>
      <c r="AP11" s="15">
        <f>+'[1]F-200'!$L$61</f>
        <v>0</v>
      </c>
      <c r="AQ11" s="15">
        <f>+'[1]F-200'!$L$63</f>
        <v>2</v>
      </c>
      <c r="AR11" s="15">
        <f>+'[1]F-200'!$L$64</f>
        <v>0</v>
      </c>
      <c r="AS11" s="15">
        <f>+'[1]F-200'!$L$65</f>
        <v>0</v>
      </c>
      <c r="AT11" s="15">
        <f>+'[1]F-200'!$L$66</f>
        <v>0</v>
      </c>
      <c r="AU11" s="15">
        <f>+'[1]F-200'!$L$68</f>
        <v>0</v>
      </c>
      <c r="AV11" s="15">
        <f>+'[1]F-200'!$L$69</f>
        <v>0</v>
      </c>
      <c r="AW11" s="15">
        <f>+'[1]F-200'!$L$70</f>
        <v>0</v>
      </c>
      <c r="AX11" s="15">
        <f>+'[1]F-200'!$L$72</f>
        <v>0</v>
      </c>
      <c r="AY11" s="15">
        <f>+'[1]F-200'!$L$73</f>
        <v>0</v>
      </c>
      <c r="AZ11" s="19">
        <f t="shared" si="0"/>
        <v>0</v>
      </c>
      <c r="BA11" s="19">
        <f t="shared" si="1"/>
        <v>0</v>
      </c>
      <c r="BB11" s="19">
        <f t="shared" si="8"/>
        <v>1546</v>
      </c>
      <c r="BC11" s="15">
        <f>+'[1]F-200'!$L$43</f>
        <v>0</v>
      </c>
      <c r="BD11" s="20">
        <f t="shared" si="9"/>
        <v>0</v>
      </c>
      <c r="BE11" s="20">
        <f t="shared" si="10"/>
        <v>1546</v>
      </c>
    </row>
    <row r="12" spans="1:57">
      <c r="A12" s="14" t="s">
        <v>117</v>
      </c>
      <c r="B12" s="15">
        <f>+'[1]F-200'!$M$18</f>
        <v>0</v>
      </c>
      <c r="C12" s="15">
        <f>+'[1]F-200'!$M$19</f>
        <v>0</v>
      </c>
      <c r="D12" s="15">
        <f>+'[1]F-200'!$M$20</f>
        <v>0</v>
      </c>
      <c r="E12" s="15">
        <f>+'[1]F-200'!$M$21</f>
        <v>0</v>
      </c>
      <c r="F12" s="15">
        <f>+'[1]F-200'!$M$22</f>
        <v>0</v>
      </c>
      <c r="G12" s="15">
        <f>+'[1]F-200'!$M$23</f>
        <v>0</v>
      </c>
      <c r="H12" s="16">
        <f>+'[1]F-200'!$M$24</f>
        <v>0</v>
      </c>
      <c r="I12" s="15">
        <f t="shared" si="3"/>
        <v>0</v>
      </c>
      <c r="J12" s="15">
        <f>+'[1]F-200'!$M$26</f>
        <v>0</v>
      </c>
      <c r="K12" s="16">
        <f>+'[1]F-200'!$M$27</f>
        <v>0</v>
      </c>
      <c r="L12" s="16">
        <f t="shared" si="4"/>
        <v>0</v>
      </c>
      <c r="M12" s="15">
        <f>+'[1]F-200'!$M$30</f>
        <v>0</v>
      </c>
      <c r="N12" s="15">
        <f>+'[1]F-200'!$M$31</f>
        <v>0</v>
      </c>
      <c r="O12" s="15">
        <f>+'[1]F-200'!$M$32</f>
        <v>0</v>
      </c>
      <c r="P12" s="15">
        <f>+'[1]F-200'!$M$33</f>
        <v>0</v>
      </c>
      <c r="Q12" s="15">
        <f>+'[1]F-200'!$M$34</f>
        <v>0</v>
      </c>
      <c r="R12" s="15">
        <f t="shared" si="5"/>
        <v>0</v>
      </c>
      <c r="S12" s="17">
        <f>+'[1]F-200'!$M$36</f>
        <v>0</v>
      </c>
      <c r="T12" s="15">
        <f>+'[1]F-200'!$M$37</f>
        <v>0</v>
      </c>
      <c r="U12" s="21">
        <f t="shared" si="6"/>
        <v>0</v>
      </c>
      <c r="V12" s="15">
        <f>+'[1]F-200'!$M$40</f>
        <v>0</v>
      </c>
      <c r="W12" s="15">
        <f>+'[1]F-200'!$M$41</f>
        <v>0</v>
      </c>
      <c r="X12" s="15">
        <f>+'[1]F-200'!$M$42</f>
        <v>2</v>
      </c>
      <c r="Y12" s="15">
        <f>+'[1]F-200'!$M$43</f>
        <v>0</v>
      </c>
      <c r="Z12" s="15">
        <f>+'[1]F-200'!$M$44</f>
        <v>0</v>
      </c>
      <c r="AA12" s="15">
        <f>+'[1]F-200'!$M$45</f>
        <v>0</v>
      </c>
      <c r="AB12" s="15">
        <f>+'[1]F-200'!$M$46</f>
        <v>0</v>
      </c>
      <c r="AC12" s="15">
        <f>+'[1]F-200'!$M$47</f>
        <v>0</v>
      </c>
      <c r="AD12" s="15">
        <f>+'[1]F-200'!$M$48</f>
        <v>0</v>
      </c>
      <c r="AE12" s="15">
        <f>+'[1]F-200'!$M$49</f>
        <v>0</v>
      </c>
      <c r="AF12" s="15">
        <f>+'[1]F-200'!$M$50</f>
        <v>0</v>
      </c>
      <c r="AG12" s="15">
        <f>+'[1]F-200'!$M$51</f>
        <v>0</v>
      </c>
      <c r="AH12" s="15">
        <f>+'[1]F-200'!$M$52</f>
        <v>0</v>
      </c>
      <c r="AI12" s="15">
        <f>+'[1]F-200'!$M$53</f>
        <v>0</v>
      </c>
      <c r="AJ12" s="15">
        <f>+'[1]F-200'!$M$54</f>
        <v>0</v>
      </c>
      <c r="AK12" s="15">
        <f>+'[1]F-200'!$M$56</f>
        <v>0</v>
      </c>
      <c r="AL12" s="15">
        <f>+'[1]F-200'!$M$57</f>
        <v>0</v>
      </c>
      <c r="AM12" s="15">
        <f>+'[1]F-200'!$M$58</f>
        <v>0</v>
      </c>
      <c r="AN12" s="15">
        <f>+'[1]F-200'!$M$59</f>
        <v>0</v>
      </c>
      <c r="AO12" s="15">
        <f>+'[1]F-200'!$M$60</f>
        <v>0</v>
      </c>
      <c r="AP12" s="15">
        <f>+'[1]F-200'!$M$61</f>
        <v>0</v>
      </c>
      <c r="AQ12" s="15">
        <f>+'[1]F-200'!$M$63</f>
        <v>2</v>
      </c>
      <c r="AR12" s="15">
        <f>+'[1]F-200'!$M$64</f>
        <v>0</v>
      </c>
      <c r="AS12" s="15">
        <f>+'[1]F-200'!$M$65</f>
        <v>0</v>
      </c>
      <c r="AT12" s="15">
        <f>+'[1]F-200'!$M$66</f>
        <v>0</v>
      </c>
      <c r="AU12" s="15">
        <f>+'[1]F-200'!$M$68</f>
        <v>0</v>
      </c>
      <c r="AV12" s="15">
        <f>+'[1]F-200'!$M$69</f>
        <v>0</v>
      </c>
      <c r="AW12" s="15">
        <f>+'[1]F-200'!$M$70</f>
        <v>0</v>
      </c>
      <c r="AX12" s="15">
        <f>+'[1]F-200'!$M$72</f>
        <v>0</v>
      </c>
      <c r="AY12" s="15">
        <f>+'[1]F-200'!$M$73</f>
        <v>0</v>
      </c>
      <c r="AZ12" s="19">
        <f t="shared" si="0"/>
        <v>0</v>
      </c>
      <c r="BA12" s="19">
        <f t="shared" si="1"/>
        <v>0</v>
      </c>
      <c r="BB12" s="19">
        <f t="shared" si="8"/>
        <v>1546</v>
      </c>
      <c r="BC12" s="15">
        <f>+'[1]F-200'!$M$43</f>
        <v>0</v>
      </c>
      <c r="BD12" s="20">
        <f t="shared" si="9"/>
        <v>0</v>
      </c>
      <c r="BE12" s="20">
        <f t="shared" si="10"/>
        <v>1546</v>
      </c>
    </row>
    <row r="13" spans="1:57">
      <c r="A13" s="14" t="s">
        <v>118</v>
      </c>
      <c r="B13" s="15">
        <f>+'[1]F-200'!$N$18</f>
        <v>0</v>
      </c>
      <c r="C13" s="15">
        <f>+'[1]F-200'!$N$19</f>
        <v>0</v>
      </c>
      <c r="D13" s="15">
        <f>+'[1]F-200'!$N$20</f>
        <v>0</v>
      </c>
      <c r="E13" s="15">
        <f>+'[1]F-200'!$N$21</f>
        <v>0</v>
      </c>
      <c r="F13" s="15">
        <f>+'[1]F-200'!$N$22</f>
        <v>0</v>
      </c>
      <c r="G13" s="15">
        <f>+'[1]F-200'!$N$23</f>
        <v>0</v>
      </c>
      <c r="H13" s="16">
        <f>+'[1]F-200'!$N$24</f>
        <v>0</v>
      </c>
      <c r="I13" s="15">
        <f t="shared" si="3"/>
        <v>0</v>
      </c>
      <c r="J13" s="15">
        <f>+'[1]F-200'!$N$26</f>
        <v>0</v>
      </c>
      <c r="K13" s="16">
        <f>+'[1]F-200'!$N$27</f>
        <v>0</v>
      </c>
      <c r="L13" s="16">
        <f t="shared" si="4"/>
        <v>0</v>
      </c>
      <c r="M13" s="15">
        <f>+'[1]F-200'!$N$30</f>
        <v>0</v>
      </c>
      <c r="N13" s="15">
        <f>+'[1]F-200'!$N$31</f>
        <v>0</v>
      </c>
      <c r="O13" s="15">
        <f>+'[1]F-200'!$N$32</f>
        <v>0</v>
      </c>
      <c r="P13" s="15">
        <f>+'[1]F-200'!$N$33</f>
        <v>0</v>
      </c>
      <c r="Q13" s="15">
        <f>+'[1]F-200'!$N$34</f>
        <v>0</v>
      </c>
      <c r="R13" s="15">
        <f t="shared" si="5"/>
        <v>0</v>
      </c>
      <c r="S13" s="17">
        <f>+'[1]F-200'!$N$36</f>
        <v>0</v>
      </c>
      <c r="T13" s="15">
        <f>+'[1]F-200'!$N$37</f>
        <v>0</v>
      </c>
      <c r="U13" s="21">
        <f t="shared" si="6"/>
        <v>0</v>
      </c>
      <c r="V13" s="15">
        <f>+'[1]F-200'!$N$40</f>
        <v>0</v>
      </c>
      <c r="W13" s="15">
        <f>+'[1]F-200'!$N$41</f>
        <v>0</v>
      </c>
      <c r="X13" s="15">
        <f>+'[1]F-200'!$N$42</f>
        <v>2</v>
      </c>
      <c r="Y13" s="15">
        <f>+'[1]F-200'!$N$43</f>
        <v>0</v>
      </c>
      <c r="Z13" s="15">
        <f>+'[1]F-200'!$N$44</f>
        <v>0</v>
      </c>
      <c r="AA13" s="15">
        <f>+'[1]F-200'!$N$45</f>
        <v>0</v>
      </c>
      <c r="AB13" s="15">
        <f>+'[1]F-200'!$N$46</f>
        <v>0</v>
      </c>
      <c r="AC13" s="15">
        <f>+'[1]F-200'!$N$47</f>
        <v>0</v>
      </c>
      <c r="AD13" s="15">
        <f>+'[1]F-200'!$N$48</f>
        <v>0</v>
      </c>
      <c r="AE13" s="15">
        <f>+'[1]F-200'!$N$49</f>
        <v>0</v>
      </c>
      <c r="AF13" s="15">
        <f>+'[1]F-200'!$N$50</f>
        <v>0</v>
      </c>
      <c r="AG13" s="15">
        <f>+'[1]F-200'!$N$51</f>
        <v>0</v>
      </c>
      <c r="AH13" s="15">
        <f>+'[1]F-200'!$N$52</f>
        <v>0</v>
      </c>
      <c r="AI13" s="15">
        <f>+'[1]F-200'!$N$53</f>
        <v>0</v>
      </c>
      <c r="AJ13" s="15">
        <f>+'[1]F-200'!$N$54</f>
        <v>0</v>
      </c>
      <c r="AK13" s="15">
        <f>+'[1]F-200'!$N$56</f>
        <v>0</v>
      </c>
      <c r="AL13" s="15">
        <f>+'[1]F-200'!$N$57</f>
        <v>0</v>
      </c>
      <c r="AM13" s="15">
        <f>+'[1]F-200'!$N$58</f>
        <v>0</v>
      </c>
      <c r="AN13" s="15">
        <f>+'[1]F-200'!$N$59</f>
        <v>0</v>
      </c>
      <c r="AO13" s="15">
        <f>+'[1]F-200'!$N$60</f>
        <v>0</v>
      </c>
      <c r="AP13" s="15">
        <f>+'[1]F-200'!$N$61</f>
        <v>0</v>
      </c>
      <c r="AQ13" s="15">
        <f>+'[1]F-200'!$N$63</f>
        <v>2</v>
      </c>
      <c r="AR13" s="15">
        <f>+'[1]F-200'!$N$64</f>
        <v>0</v>
      </c>
      <c r="AS13" s="15">
        <f>+'[1]F-200'!$N$65</f>
        <v>0</v>
      </c>
      <c r="AT13" s="15">
        <f>+'[1]F-200'!$N$66</f>
        <v>0</v>
      </c>
      <c r="AU13" s="15">
        <f>+'[1]F-200'!$N$68</f>
        <v>0</v>
      </c>
      <c r="AV13" s="15">
        <f>+'[1]F-200'!$N$69</f>
        <v>0</v>
      </c>
      <c r="AW13" s="15">
        <f>+'[1]F-200'!$N$70</f>
        <v>0</v>
      </c>
      <c r="AX13" s="15">
        <f>+'[1]F-200'!$N$72</f>
        <v>0</v>
      </c>
      <c r="AY13" s="15">
        <f>+'[1]F-200'!$N$73</f>
        <v>0</v>
      </c>
      <c r="AZ13" s="19">
        <f t="shared" si="0"/>
        <v>0</v>
      </c>
      <c r="BA13" s="19">
        <f t="shared" si="1"/>
        <v>0</v>
      </c>
      <c r="BB13" s="19">
        <f t="shared" si="8"/>
        <v>1546</v>
      </c>
      <c r="BC13" s="15">
        <f>+'[1]F-200'!$N$43</f>
        <v>0</v>
      </c>
      <c r="BD13" s="20">
        <f t="shared" si="9"/>
        <v>0</v>
      </c>
      <c r="BE13" s="20">
        <f t="shared" si="10"/>
        <v>1546</v>
      </c>
    </row>
    <row r="14" spans="1:57">
      <c r="A14" s="14" t="s">
        <v>119</v>
      </c>
      <c r="B14" s="15">
        <f>+'[1]F-200'!$O$18</f>
        <v>0</v>
      </c>
      <c r="C14" s="15">
        <f>+'[1]F-200'!$O$19</f>
        <v>0</v>
      </c>
      <c r="D14" s="15">
        <f>+'[1]F-200'!$O$20</f>
        <v>0</v>
      </c>
      <c r="E14" s="15">
        <f>+'[1]F-200'!$O$21</f>
        <v>0</v>
      </c>
      <c r="F14" s="15">
        <f>+'[1]F-200'!$O$22</f>
        <v>0</v>
      </c>
      <c r="G14" s="15">
        <f>+'[1]F-200'!$O$23</f>
        <v>0</v>
      </c>
      <c r="H14" s="16">
        <f>+'[1]F-200'!$O$24</f>
        <v>0</v>
      </c>
      <c r="I14" s="15">
        <f t="shared" si="3"/>
        <v>0</v>
      </c>
      <c r="J14" s="15">
        <f>+'[1]F-200'!$O$26</f>
        <v>0</v>
      </c>
      <c r="K14" s="16">
        <f>+'[1]F-200'!$O$27</f>
        <v>0</v>
      </c>
      <c r="L14" s="16">
        <f t="shared" si="4"/>
        <v>0</v>
      </c>
      <c r="M14" s="15">
        <f>+'[1]F-200'!$O$30</f>
        <v>0</v>
      </c>
      <c r="N14" s="15">
        <f>+'[1]F-200'!$O$31</f>
        <v>0</v>
      </c>
      <c r="O14" s="15">
        <f>+'[1]F-200'!$O$32</f>
        <v>0</v>
      </c>
      <c r="P14" s="15">
        <f>+'[1]F-200'!$O$33</f>
        <v>0</v>
      </c>
      <c r="Q14" s="15">
        <f>+'[1]F-200'!$O$34</f>
        <v>0</v>
      </c>
      <c r="R14" s="15">
        <f t="shared" si="5"/>
        <v>0</v>
      </c>
      <c r="S14" s="17">
        <f>+'[1]F-200'!$O$36</f>
        <v>0</v>
      </c>
      <c r="T14" s="15">
        <f>+'[1]F-200'!$O$37</f>
        <v>0</v>
      </c>
      <c r="U14" s="21">
        <f t="shared" si="6"/>
        <v>0</v>
      </c>
      <c r="V14" s="15">
        <f>+'[1]F-200'!$O$40</f>
        <v>0</v>
      </c>
      <c r="W14" s="15">
        <f>+'[1]F-200'!$O$41</f>
        <v>0</v>
      </c>
      <c r="X14" s="15">
        <f>+'[1]F-200'!$O$42</f>
        <v>2</v>
      </c>
      <c r="Y14" s="15">
        <f>+'[1]F-200'!$O$43</f>
        <v>0</v>
      </c>
      <c r="Z14" s="15">
        <f>+'[1]F-200'!$O$44</f>
        <v>0</v>
      </c>
      <c r="AA14" s="15">
        <f>+'[1]F-200'!$O$45</f>
        <v>0</v>
      </c>
      <c r="AB14" s="15">
        <f>+'[1]F-200'!$O$46</f>
        <v>0</v>
      </c>
      <c r="AC14" s="15">
        <f>+'[1]F-200'!$O$47</f>
        <v>0</v>
      </c>
      <c r="AD14" s="15">
        <f>+'[1]F-200'!$O$48</f>
        <v>0</v>
      </c>
      <c r="AE14" s="15">
        <f>+'[1]F-200'!$O$49</f>
        <v>0</v>
      </c>
      <c r="AF14" s="15">
        <f>+'[1]F-200'!$O$50</f>
        <v>0</v>
      </c>
      <c r="AG14" s="15">
        <f>+'[1]F-200'!$O$51</f>
        <v>0</v>
      </c>
      <c r="AH14" s="15">
        <f>+'[1]F-200'!$O$52</f>
        <v>0</v>
      </c>
      <c r="AI14" s="15">
        <f>+'[1]F-200'!$O$53</f>
        <v>0</v>
      </c>
      <c r="AJ14" s="15">
        <f>+'[1]F-200'!$O$54</f>
        <v>0</v>
      </c>
      <c r="AK14" s="15">
        <f>+'[1]F-200'!$O$56</f>
        <v>0</v>
      </c>
      <c r="AL14" s="15">
        <f>+'[1]F-200'!$O$57</f>
        <v>0</v>
      </c>
      <c r="AM14" s="15">
        <f>+'[1]F-200'!$O$58</f>
        <v>0</v>
      </c>
      <c r="AN14" s="15">
        <f>+'[1]F-200'!$O$59</f>
        <v>0</v>
      </c>
      <c r="AO14" s="15">
        <f>+'[1]F-200'!$O$60</f>
        <v>0</v>
      </c>
      <c r="AP14" s="15">
        <f>+'[1]F-200'!$O$61</f>
        <v>0</v>
      </c>
      <c r="AQ14" s="15">
        <f>+'[1]F-200'!$O$63</f>
        <v>2</v>
      </c>
      <c r="AR14" s="15">
        <f>+'[1]F-200'!$O$64</f>
        <v>0</v>
      </c>
      <c r="AS14" s="15">
        <f>+'[1]F-200'!$O$65</f>
        <v>0</v>
      </c>
      <c r="AT14" s="15">
        <f>+'[1]F-200'!$O$66</f>
        <v>0</v>
      </c>
      <c r="AU14" s="15">
        <f>+'[1]F-200'!$O$68</f>
        <v>0</v>
      </c>
      <c r="AV14" s="15">
        <f>+'[1]F-200'!$O$69</f>
        <v>0</v>
      </c>
      <c r="AW14" s="15">
        <f>+'[1]F-200'!$O$70</f>
        <v>0</v>
      </c>
      <c r="AX14" s="15">
        <f>+'[1]F-200'!$O$72</f>
        <v>0</v>
      </c>
      <c r="AY14" s="15">
        <f>+'[1]F-200'!$O$73</f>
        <v>0</v>
      </c>
      <c r="AZ14" s="19">
        <f t="shared" si="0"/>
        <v>0</v>
      </c>
      <c r="BA14" s="19">
        <f t="shared" si="1"/>
        <v>0</v>
      </c>
      <c r="BB14" s="19">
        <f t="shared" si="8"/>
        <v>1546</v>
      </c>
      <c r="BC14" s="15">
        <f>+'[1]F-200'!$O$43</f>
        <v>0</v>
      </c>
      <c r="BD14" s="20">
        <f t="shared" si="9"/>
        <v>0</v>
      </c>
      <c r="BE14" s="20">
        <f t="shared" si="10"/>
        <v>1546</v>
      </c>
    </row>
    <row r="15" spans="1:57">
      <c r="A15" s="14" t="s">
        <v>120</v>
      </c>
      <c r="B15" s="15">
        <f>+'[1]F-200'!$P$18</f>
        <v>0</v>
      </c>
      <c r="C15" s="15">
        <f>+'[1]F-200'!$P$19</f>
        <v>0</v>
      </c>
      <c r="D15" s="15">
        <f>+'[1]F-200'!$P$20</f>
        <v>0</v>
      </c>
      <c r="E15" s="15">
        <f>+'[1]F-200'!$P$21</f>
        <v>0</v>
      </c>
      <c r="F15" s="15">
        <f>+'[1]F-200'!$P$22</f>
        <v>0</v>
      </c>
      <c r="G15" s="15">
        <f>+'[1]F-200'!$P$23</f>
        <v>0</v>
      </c>
      <c r="H15" s="16">
        <f>+'[1]F-200'!$P$24</f>
        <v>0</v>
      </c>
      <c r="I15" s="15">
        <f t="shared" si="3"/>
        <v>0</v>
      </c>
      <c r="J15" s="15">
        <f>+'[1]F-200'!$P$26</f>
        <v>0</v>
      </c>
      <c r="K15" s="16">
        <f>+'[1]F-200'!$P$27</f>
        <v>0</v>
      </c>
      <c r="L15" s="16">
        <f t="shared" si="4"/>
        <v>0</v>
      </c>
      <c r="M15" s="15">
        <f>+'[1]F-200'!$P$30</f>
        <v>0</v>
      </c>
      <c r="N15" s="15">
        <f>+'[1]F-200'!$P$31</f>
        <v>0</v>
      </c>
      <c r="O15" s="15">
        <f>+'[1]F-200'!$P$32</f>
        <v>0</v>
      </c>
      <c r="P15" s="15">
        <f>+'[1]F-200'!$P$33</f>
        <v>0</v>
      </c>
      <c r="Q15" s="15">
        <f>+'[1]F-200'!$P$34</f>
        <v>0</v>
      </c>
      <c r="R15" s="15">
        <f t="shared" si="5"/>
        <v>0</v>
      </c>
      <c r="S15" s="17">
        <f>+'[1]F-200'!$P$36</f>
        <v>0</v>
      </c>
      <c r="T15" s="15">
        <f>+'[1]F-200'!$P$37</f>
        <v>0</v>
      </c>
      <c r="U15" s="21">
        <f t="shared" si="6"/>
        <v>0</v>
      </c>
      <c r="V15" s="15">
        <f>+'[1]F-200'!$P$40</f>
        <v>0</v>
      </c>
      <c r="W15" s="15">
        <f>+'[1]F-200'!$P$41</f>
        <v>0</v>
      </c>
      <c r="X15" s="15">
        <f>+'[1]F-200'!$P$42</f>
        <v>2</v>
      </c>
      <c r="Y15" s="15">
        <f>+'[1]F-200'!$P$43</f>
        <v>0</v>
      </c>
      <c r="Z15" s="15">
        <f>+'[1]F-200'!$P$44</f>
        <v>0</v>
      </c>
      <c r="AA15" s="15">
        <f>+'[1]F-200'!$P$45</f>
        <v>0</v>
      </c>
      <c r="AB15" s="15">
        <f>+'[1]F-200'!$P$46</f>
        <v>0</v>
      </c>
      <c r="AC15" s="15">
        <f>+'[1]F-200'!$P$47</f>
        <v>0</v>
      </c>
      <c r="AD15" s="15">
        <f>+'[1]F-200'!$P$48</f>
        <v>0</v>
      </c>
      <c r="AE15" s="15">
        <f>+'[1]F-200'!$P$49</f>
        <v>0</v>
      </c>
      <c r="AF15" s="15">
        <f>+'[1]F-200'!$P$50</f>
        <v>0</v>
      </c>
      <c r="AG15" s="15">
        <f>+'[1]F-200'!$P$51</f>
        <v>0</v>
      </c>
      <c r="AH15" s="15">
        <f>+'[1]F-200'!$P$52</f>
        <v>0</v>
      </c>
      <c r="AI15" s="15">
        <f>+'[1]F-200'!$P$53</f>
        <v>0</v>
      </c>
      <c r="AJ15" s="15">
        <f>+'[1]F-200'!$P$54</f>
        <v>0</v>
      </c>
      <c r="AK15" s="15">
        <f>+'[1]F-200'!$P$56</f>
        <v>0</v>
      </c>
      <c r="AL15" s="15">
        <f>+'[1]F-200'!$P$57</f>
        <v>0</v>
      </c>
      <c r="AM15" s="15">
        <f>+'[1]F-200'!$P$58</f>
        <v>0</v>
      </c>
      <c r="AN15" s="15">
        <f>+'[1]F-200'!$P$59</f>
        <v>0</v>
      </c>
      <c r="AO15" s="15">
        <f>+'[1]F-200'!$P$60</f>
        <v>0</v>
      </c>
      <c r="AP15" s="15">
        <f>+'[1]F-200'!$P$61</f>
        <v>0</v>
      </c>
      <c r="AQ15" s="15">
        <f>+'[1]F-200'!$P$63</f>
        <v>2</v>
      </c>
      <c r="AR15" s="15">
        <f>+'[1]F-200'!$P$64</f>
        <v>0</v>
      </c>
      <c r="AS15" s="15">
        <f>+'[1]F-200'!$P$65</f>
        <v>0</v>
      </c>
      <c r="AT15" s="15">
        <f>+'[1]F-200'!$P$66</f>
        <v>0</v>
      </c>
      <c r="AU15" s="15">
        <f>+'[1]F-200'!$P$68</f>
        <v>0</v>
      </c>
      <c r="AV15" s="15">
        <f>+'[1]F-200'!$P$69</f>
        <v>0</v>
      </c>
      <c r="AW15" s="15">
        <f>+'[1]F-200'!$P$70</f>
        <v>0</v>
      </c>
      <c r="AX15" s="15">
        <f>+'[1]F-200'!$P$72</f>
        <v>0</v>
      </c>
      <c r="AY15" s="15">
        <f>+'[1]F-200'!$P$73</f>
        <v>0</v>
      </c>
      <c r="AZ15" s="19">
        <f t="shared" si="0"/>
        <v>0</v>
      </c>
      <c r="BA15" s="19">
        <f t="shared" si="1"/>
        <v>0</v>
      </c>
      <c r="BB15" s="19">
        <f t="shared" si="8"/>
        <v>1546</v>
      </c>
      <c r="BC15" s="15">
        <f>+'[1]F-200'!$P$43</f>
        <v>0</v>
      </c>
      <c r="BD15" s="20">
        <f t="shared" si="9"/>
        <v>0</v>
      </c>
      <c r="BE15" s="20">
        <f t="shared" si="10"/>
        <v>1546</v>
      </c>
    </row>
    <row r="16" spans="1:57" ht="15.75" thickBot="1">
      <c r="A16" s="22" t="s">
        <v>108</v>
      </c>
      <c r="B16" s="23">
        <f>SUM(B4:B15)</f>
        <v>0</v>
      </c>
      <c r="C16" s="23">
        <f t="shared" ref="C16:AY16" si="11">SUM(C4:C15)</f>
        <v>0</v>
      </c>
      <c r="D16" s="23">
        <f t="shared" si="11"/>
        <v>0</v>
      </c>
      <c r="E16" s="23">
        <f t="shared" si="11"/>
        <v>0</v>
      </c>
      <c r="F16" s="23">
        <f t="shared" si="11"/>
        <v>0</v>
      </c>
      <c r="G16" s="23">
        <f t="shared" si="11"/>
        <v>0</v>
      </c>
      <c r="H16" s="23">
        <f t="shared" si="11"/>
        <v>0</v>
      </c>
      <c r="I16" s="23">
        <f t="shared" si="11"/>
        <v>0</v>
      </c>
      <c r="J16" s="23">
        <f t="shared" si="11"/>
        <v>0</v>
      </c>
      <c r="K16" s="23">
        <f t="shared" si="11"/>
        <v>0</v>
      </c>
      <c r="L16" s="23">
        <f t="shared" si="11"/>
        <v>0</v>
      </c>
      <c r="M16" s="23">
        <f t="shared" si="11"/>
        <v>0</v>
      </c>
      <c r="N16" s="23">
        <f t="shared" si="11"/>
        <v>0</v>
      </c>
      <c r="O16" s="23">
        <f t="shared" si="11"/>
        <v>0</v>
      </c>
      <c r="P16" s="23">
        <f t="shared" si="11"/>
        <v>0</v>
      </c>
      <c r="Q16" s="23">
        <f t="shared" si="11"/>
        <v>0</v>
      </c>
      <c r="R16" s="23">
        <f t="shared" si="11"/>
        <v>0</v>
      </c>
      <c r="S16" s="23">
        <f t="shared" si="11"/>
        <v>0</v>
      </c>
      <c r="T16" s="23">
        <f t="shared" si="11"/>
        <v>0</v>
      </c>
      <c r="U16" s="23">
        <f t="shared" si="11"/>
        <v>0</v>
      </c>
      <c r="V16" s="23">
        <f t="shared" si="11"/>
        <v>0</v>
      </c>
      <c r="W16" s="23">
        <f t="shared" si="11"/>
        <v>0</v>
      </c>
      <c r="X16" s="23">
        <f t="shared" si="11"/>
        <v>19</v>
      </c>
      <c r="Y16" s="23">
        <f t="shared" si="11"/>
        <v>2</v>
      </c>
      <c r="Z16" s="23">
        <f t="shared" si="11"/>
        <v>0</v>
      </c>
      <c r="AA16" s="23">
        <f t="shared" si="11"/>
        <v>0</v>
      </c>
      <c r="AB16" s="23">
        <f t="shared" si="11"/>
        <v>0</v>
      </c>
      <c r="AC16" s="23">
        <f t="shared" si="11"/>
        <v>0</v>
      </c>
      <c r="AD16" s="23">
        <f t="shared" si="11"/>
        <v>0</v>
      </c>
      <c r="AE16" s="23">
        <f t="shared" si="11"/>
        <v>0</v>
      </c>
      <c r="AF16" s="23">
        <f t="shared" si="11"/>
        <v>0</v>
      </c>
      <c r="AG16" s="23">
        <f t="shared" si="11"/>
        <v>0</v>
      </c>
      <c r="AH16" s="23">
        <f t="shared" si="11"/>
        <v>0</v>
      </c>
      <c r="AI16" s="23">
        <f t="shared" si="11"/>
        <v>0</v>
      </c>
      <c r="AJ16" s="23">
        <f t="shared" si="11"/>
        <v>0</v>
      </c>
      <c r="AK16" s="23">
        <f t="shared" si="11"/>
        <v>0</v>
      </c>
      <c r="AL16" s="23">
        <f t="shared" si="11"/>
        <v>0</v>
      </c>
      <c r="AM16" s="23">
        <f t="shared" si="11"/>
        <v>0</v>
      </c>
      <c r="AN16" s="23">
        <f t="shared" si="11"/>
        <v>0</v>
      </c>
      <c r="AO16" s="23">
        <f t="shared" si="11"/>
        <v>0</v>
      </c>
      <c r="AP16" s="23">
        <f t="shared" si="11"/>
        <v>0</v>
      </c>
      <c r="AQ16" s="23">
        <f t="shared" si="11"/>
        <v>21</v>
      </c>
      <c r="AR16" s="23">
        <f t="shared" si="11"/>
        <v>0</v>
      </c>
      <c r="AS16" s="23">
        <f t="shared" si="11"/>
        <v>0</v>
      </c>
      <c r="AT16" s="23">
        <f t="shared" si="11"/>
        <v>0</v>
      </c>
      <c r="AU16" s="23">
        <f t="shared" si="11"/>
        <v>0</v>
      </c>
      <c r="AV16" s="23">
        <f t="shared" si="11"/>
        <v>0</v>
      </c>
      <c r="AW16" s="23">
        <f t="shared" si="11"/>
        <v>0</v>
      </c>
      <c r="AX16" s="23">
        <f t="shared" si="11"/>
        <v>0</v>
      </c>
      <c r="AY16" s="23">
        <f t="shared" si="11"/>
        <v>0</v>
      </c>
      <c r="AZ16" s="23">
        <f>SUM(AZ4:AZ15)</f>
        <v>0</v>
      </c>
      <c r="BA16" s="23">
        <f>SUM(BA4:BA15)</f>
        <v>0</v>
      </c>
      <c r="BB16" s="23">
        <f>SUM(BB4:BB15)</f>
        <v>17912</v>
      </c>
      <c r="BC16" s="23">
        <f>SUM(BC4:BC15)</f>
        <v>637</v>
      </c>
      <c r="BD16" s="23">
        <f>SUM(BD4:BD15)</f>
        <v>0</v>
      </c>
      <c r="BE16" s="23">
        <f>SUM(BE4:BE15)</f>
        <v>18549</v>
      </c>
    </row>
    <row r="17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fma007@outlook.es</dc:creator>
  <cp:lastModifiedBy>fma007@outlook.es</cp:lastModifiedBy>
  <dcterms:created xsi:type="dcterms:W3CDTF">2026-02-27T15:16:52Z</dcterms:created>
  <dcterms:modified xsi:type="dcterms:W3CDTF">2026-02-27T15:20:17Z</dcterms:modified>
</cp:coreProperties>
</file>